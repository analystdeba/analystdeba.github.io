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ales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<sst xmlns="http://schemas.openxmlformats.org/spreadsheetml/2006/main" count="770" uniqueCount="188">
  <si>
    <t xml:space="preserve">📊  SALES RAW DATA — 2024</t>
  </si>
  <si>
    <t xml:space="preserve">Order ID</t>
  </si>
  <si>
    <t xml:space="preserve">Month</t>
  </si>
  <si>
    <t xml:space="preserve">Region</t>
  </si>
  <si>
    <t xml:space="preserve">Salesperson</t>
  </si>
  <si>
    <t xml:space="preserve">Product</t>
  </si>
  <si>
    <t xml:space="preserve">Category</t>
  </si>
  <si>
    <t xml:space="preserve">Units Sold</t>
  </si>
  <si>
    <t xml:space="preserve">Unit Price ($)</t>
  </si>
  <si>
    <t xml:space="preserve">Revenue ($)</t>
  </si>
  <si>
    <t xml:space="preserve">Cost ($)</t>
  </si>
  <si>
    <t xml:space="preserve">Profit ($)</t>
  </si>
  <si>
    <t xml:space="preserve">Profit Margin (%)</t>
  </si>
  <si>
    <t xml:space="preserve">ORD-1001</t>
  </si>
  <si>
    <t xml:space="preserve">Jan</t>
  </si>
  <si>
    <t xml:space="preserve">North</t>
  </si>
  <si>
    <t xml:space="preserve">Alice M.</t>
  </si>
  <si>
    <t xml:space="preserve">Chair</t>
  </si>
  <si>
    <t xml:space="preserve">Furniture</t>
  </si>
  <si>
    <t xml:space="preserve">ORD-1002</t>
  </si>
  <si>
    <t xml:space="preserve">Feb</t>
  </si>
  <si>
    <t xml:space="preserve">South</t>
  </si>
  <si>
    <t xml:space="preserve">Cara S.</t>
  </si>
  <si>
    <t xml:space="preserve">Phone</t>
  </si>
  <si>
    <t xml:space="preserve">Electronics</t>
  </si>
  <si>
    <t xml:space="preserve">ORD-1003</t>
  </si>
  <si>
    <t xml:space="preserve">Mar</t>
  </si>
  <si>
    <t xml:space="preserve">Gail P.</t>
  </si>
  <si>
    <t xml:space="preserve">Laptop</t>
  </si>
  <si>
    <t xml:space="preserve">ORD-1004</t>
  </si>
  <si>
    <t xml:space="preserve">Apr</t>
  </si>
  <si>
    <t xml:space="preserve">Dan T.</t>
  </si>
  <si>
    <t xml:space="preserve">Desk</t>
  </si>
  <si>
    <t xml:space="preserve">ORD-1005</t>
  </si>
  <si>
    <t xml:space="preserve">May</t>
  </si>
  <si>
    <t xml:space="preserve">Lamp</t>
  </si>
  <si>
    <t xml:space="preserve">ORD-1006</t>
  </si>
  <si>
    <t xml:space="preserve">Jun</t>
  </si>
  <si>
    <t xml:space="preserve">Hiro W.</t>
  </si>
  <si>
    <t xml:space="preserve">Notebook</t>
  </si>
  <si>
    <t xml:space="preserve">Stationery</t>
  </si>
  <si>
    <t xml:space="preserve">ORD-1007</t>
  </si>
  <si>
    <t xml:space="preserve">Jul</t>
  </si>
  <si>
    <t xml:space="preserve">Headset</t>
  </si>
  <si>
    <t xml:space="preserve">ORD-1008</t>
  </si>
  <si>
    <t xml:space="preserve">Aug</t>
  </si>
  <si>
    <t xml:space="preserve">East</t>
  </si>
  <si>
    <t xml:space="preserve">ORD-1009</t>
  </si>
  <si>
    <t xml:space="preserve">Sep</t>
  </si>
  <si>
    <t xml:space="preserve">Bob K.</t>
  </si>
  <si>
    <t xml:space="preserve">ORD-1010</t>
  </si>
  <si>
    <t xml:space="preserve">Oct</t>
  </si>
  <si>
    <t xml:space="preserve">Finn O.</t>
  </si>
  <si>
    <t xml:space="preserve">ORD-1011</t>
  </si>
  <si>
    <t xml:space="preserve">Nov</t>
  </si>
  <si>
    <t xml:space="preserve">ORD-1012</t>
  </si>
  <si>
    <t xml:space="preserve">Dec</t>
  </si>
  <si>
    <t xml:space="preserve">West</t>
  </si>
  <si>
    <t xml:space="preserve">ORD-1013</t>
  </si>
  <si>
    <t xml:space="preserve">ORD-1014</t>
  </si>
  <si>
    <t xml:space="preserve">Eva L.</t>
  </si>
  <si>
    <t xml:space="preserve">ORD-1015</t>
  </si>
  <si>
    <t xml:space="preserve">ORD-1016</t>
  </si>
  <si>
    <t xml:space="preserve">Monitor</t>
  </si>
  <si>
    <t xml:space="preserve">ORD-1017</t>
  </si>
  <si>
    <t xml:space="preserve">ORD-1018</t>
  </si>
  <si>
    <t xml:space="preserve">Tablet</t>
  </si>
  <si>
    <t xml:space="preserve">ORD-1019</t>
  </si>
  <si>
    <t xml:space="preserve">ORD-1020</t>
  </si>
  <si>
    <t xml:space="preserve">ORD-1021</t>
  </si>
  <si>
    <t xml:space="preserve">ORD-1022</t>
  </si>
  <si>
    <t xml:space="preserve">ORD-1023</t>
  </si>
  <si>
    <t xml:space="preserve">Keyboard</t>
  </si>
  <si>
    <t xml:space="preserve">ORD-1024</t>
  </si>
  <si>
    <t xml:space="preserve">ORD-1025</t>
  </si>
  <si>
    <t xml:space="preserve">ORD-1026</t>
  </si>
  <si>
    <t xml:space="preserve">ORD-1027</t>
  </si>
  <si>
    <t xml:space="preserve">ORD-1028</t>
  </si>
  <si>
    <t xml:space="preserve">ORD-1029</t>
  </si>
  <si>
    <t xml:space="preserve">ORD-1030</t>
  </si>
  <si>
    <t xml:space="preserve">ORD-1031</t>
  </si>
  <si>
    <t xml:space="preserve">ORD-1032</t>
  </si>
  <si>
    <t xml:space="preserve">ORD-1033</t>
  </si>
  <si>
    <t xml:space="preserve">ORD-1034</t>
  </si>
  <si>
    <t xml:space="preserve">ORD-1035</t>
  </si>
  <si>
    <t xml:space="preserve">ORD-1036</t>
  </si>
  <si>
    <t xml:space="preserve">ORD-1037</t>
  </si>
  <si>
    <t xml:space="preserve">ORD-1038</t>
  </si>
  <si>
    <t xml:space="preserve">ORD-1039</t>
  </si>
  <si>
    <t xml:space="preserve">ORD-1040</t>
  </si>
  <si>
    <t xml:space="preserve">ORD-1041</t>
  </si>
  <si>
    <t xml:space="preserve">ORD-1042</t>
  </si>
  <si>
    <t xml:space="preserve">ORD-1043</t>
  </si>
  <si>
    <t xml:space="preserve">ORD-1044</t>
  </si>
  <si>
    <t xml:space="preserve">ORD-1045</t>
  </si>
  <si>
    <t xml:space="preserve">ORD-1046</t>
  </si>
  <si>
    <t xml:space="preserve">ORD-1047</t>
  </si>
  <si>
    <t xml:space="preserve">ORD-1048</t>
  </si>
  <si>
    <t xml:space="preserve">ORD-1049</t>
  </si>
  <si>
    <t xml:space="preserve">ORD-1050</t>
  </si>
  <si>
    <t xml:space="preserve">ORD-1051</t>
  </si>
  <si>
    <t xml:space="preserve">ORD-1052</t>
  </si>
  <si>
    <t xml:space="preserve">ORD-1053</t>
  </si>
  <si>
    <t xml:space="preserve">ORD-1054</t>
  </si>
  <si>
    <t xml:space="preserve">ORD-1055</t>
  </si>
  <si>
    <t xml:space="preserve">ORD-1056</t>
  </si>
  <si>
    <t xml:space="preserve">ORD-1057</t>
  </si>
  <si>
    <t xml:space="preserve">ORD-1058</t>
  </si>
  <si>
    <t xml:space="preserve">ORD-1059</t>
  </si>
  <si>
    <t xml:space="preserve">ORD-1060</t>
  </si>
  <si>
    <t xml:space="preserve">ORD-1061</t>
  </si>
  <si>
    <t xml:space="preserve">ORD-1062</t>
  </si>
  <si>
    <t xml:space="preserve">ORD-1063</t>
  </si>
  <si>
    <t xml:space="preserve">ORD-1064</t>
  </si>
  <si>
    <t xml:space="preserve">ORD-1065</t>
  </si>
  <si>
    <t xml:space="preserve">ORD-1066</t>
  </si>
  <si>
    <t xml:space="preserve">ORD-1067</t>
  </si>
  <si>
    <t xml:space="preserve">ORD-1068</t>
  </si>
  <si>
    <t xml:space="preserve">ORD-1069</t>
  </si>
  <si>
    <t xml:space="preserve">ORD-1070</t>
  </si>
  <si>
    <t xml:space="preserve">ORD-1071</t>
  </si>
  <si>
    <t xml:space="preserve">ORD-1072</t>
  </si>
  <si>
    <t xml:space="preserve">ORD-1073</t>
  </si>
  <si>
    <t xml:space="preserve">ORD-1074</t>
  </si>
  <si>
    <t xml:space="preserve">ORD-1075</t>
  </si>
  <si>
    <t xml:space="preserve">ORD-1076</t>
  </si>
  <si>
    <t xml:space="preserve">ORD-1077</t>
  </si>
  <si>
    <t xml:space="preserve">ORD-1078</t>
  </si>
  <si>
    <t xml:space="preserve">ORD-1079</t>
  </si>
  <si>
    <t xml:space="preserve">ORD-1080</t>
  </si>
  <si>
    <t xml:space="preserve">ORD-1081</t>
  </si>
  <si>
    <t xml:space="preserve">ORD-1082</t>
  </si>
  <si>
    <t xml:space="preserve">ORD-1083</t>
  </si>
  <si>
    <t xml:space="preserve">ORD-1084</t>
  </si>
  <si>
    <t xml:space="preserve">ORD-1085</t>
  </si>
  <si>
    <t xml:space="preserve">ORD-1086</t>
  </si>
  <si>
    <t xml:space="preserve">ORD-1087</t>
  </si>
  <si>
    <t xml:space="preserve">ORD-1088</t>
  </si>
  <si>
    <t xml:space="preserve">ORD-1089</t>
  </si>
  <si>
    <t xml:space="preserve">ORD-1090</t>
  </si>
  <si>
    <t xml:space="preserve">ORD-1091</t>
  </si>
  <si>
    <t xml:space="preserve">ORD-1092</t>
  </si>
  <si>
    <t xml:space="preserve">ORD-1093</t>
  </si>
  <si>
    <t xml:space="preserve">ORD-1094</t>
  </si>
  <si>
    <t xml:space="preserve">ORD-1095</t>
  </si>
  <si>
    <t xml:space="preserve">ORD-1096</t>
  </si>
  <si>
    <t xml:space="preserve">ORD-1097</t>
  </si>
  <si>
    <t xml:space="preserve">ORD-1098</t>
  </si>
  <si>
    <t xml:space="preserve">ORD-1099</t>
  </si>
  <si>
    <t xml:space="preserve">ORD-1100</t>
  </si>
  <si>
    <t xml:space="preserve">ORD-1101</t>
  </si>
  <si>
    <t xml:space="preserve">ORD-1102</t>
  </si>
  <si>
    <t xml:space="preserve">ORD-1103</t>
  </si>
  <si>
    <t xml:space="preserve">ORD-1104</t>
  </si>
  <si>
    <t xml:space="preserve">ORD-1105</t>
  </si>
  <si>
    <t xml:space="preserve">ORD-1106</t>
  </si>
  <si>
    <t xml:space="preserve">ORD-1107</t>
  </si>
  <si>
    <t xml:space="preserve">ORD-1108</t>
  </si>
  <si>
    <t xml:space="preserve">ORD-1109</t>
  </si>
  <si>
    <t xml:space="preserve">ORD-1110</t>
  </si>
  <si>
    <t xml:space="preserve">ORD-1111</t>
  </si>
  <si>
    <t xml:space="preserve">ORD-1112</t>
  </si>
  <si>
    <t xml:space="preserve">ORD-1113</t>
  </si>
  <si>
    <t xml:space="preserve">ORD-1114</t>
  </si>
  <si>
    <t xml:space="preserve">ORD-1115</t>
  </si>
  <si>
    <t xml:space="preserve">ORD-1116</t>
  </si>
  <si>
    <t xml:space="preserve">ORD-1117</t>
  </si>
  <si>
    <t xml:space="preserve">ORD-1118</t>
  </si>
  <si>
    <t xml:space="preserve">ORD-1119</t>
  </si>
  <si>
    <t xml:space="preserve">ORD-1120</t>
  </si>
  <si>
    <t xml:space="preserve">📊  SALES PERFORMANCE DASHBOARD 2024</t>
  </si>
  <si>
    <t xml:space="preserve">Interactive KPI Overview | Revenue · Profit · Regional Performance · Product Analysis</t>
  </si>
  <si>
    <t xml:space="preserve">💰 Total Revenue</t>
  </si>
  <si>
    <t xml:space="preserve">📈 Total Profit</t>
  </si>
  <si>
    <t xml:space="preserve">📦 Total Orders</t>
  </si>
  <si>
    <t xml:space="preserve">🎯 Avg Margin</t>
  </si>
  <si>
    <t xml:space="preserve">Monthly Revenue Breakdown</t>
  </si>
  <si>
    <t xml:space="preserve">Revenue by Region</t>
  </si>
  <si>
    <t xml:space="preserve">Total Revenue</t>
  </si>
  <si>
    <t xml:space="preserve">Total Profit</t>
  </si>
  <si>
    <t xml:space="preserve">Orders</t>
  </si>
  <si>
    <t xml:space="preserve">Avg Order Value</t>
  </si>
  <si>
    <t xml:space="preserve">Growth %</t>
  </si>
  <si>
    <t xml:space="preserve">Revenue</t>
  </si>
  <si>
    <t xml:space="preserve">Profit</t>
  </si>
  <si>
    <t xml:space="preserve">Share %</t>
  </si>
  <si>
    <t xml:space="preserve">—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</si>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</sst>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$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1A1A2E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i val="true"/>
      <sz val="10"/>
      <color rgb="FF7F8C8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22"/>
      <color rgb="FF1A5276"/>
      <name val="Calibri"/>
      <family val="0"/>
      <charset val="1"/>
    </font>
    <font>
      <b val="true"/>
      <sz val="22"/>
      <color rgb="FF1E8449"/>
      <name val="Calibri"/>
      <family val="0"/>
      <charset val="1"/>
    </font>
    <font>
      <b val="true"/>
      <sz val="22"/>
      <color rgb="FF6C3483"/>
      <name val="Calibri"/>
      <family val="0"/>
      <charset val="1"/>
    </font>
    <font>
      <b val="true"/>
      <sz val="22"/>
      <color rgb="FFB7950B"/>
      <name val="Calibri"/>
      <family val="0"/>
      <charset val="1"/>
    </font>
    <font>
      <b val="true"/>
      <sz val="10"/>
      <color rgb="FF1A1A2E"/>
      <name val="Calibri"/>
      <family val="0"/>
      <charset val="1"/>
    </font>
    <font>
      <sz val="10"/>
      <name val="Calibri"/>
      <family val="0"/>
      <charset val="1"/>
    </font>
    <font>
      <sz val="10"/>
      <color rgb="FF99999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F0F4FF"/>
        <bgColor rgb="FFEBF5FB"/>
      </patternFill>
    </fill>
    <fill>
      <patternFill patternType="solid">
        <fgColor rgb="FF1A5276"/>
        <bgColor rgb="FF0F3460"/>
      </patternFill>
    </fill>
    <fill>
      <patternFill patternType="solid">
        <fgColor rgb="FF1E8449"/>
        <bgColor rgb="FF008080"/>
      </patternFill>
    </fill>
    <fill>
      <patternFill patternType="solid">
        <fgColor rgb="FF6C3483"/>
        <bgColor rgb="FF660066"/>
      </patternFill>
    </fill>
    <fill>
      <patternFill patternType="solid">
        <fgColor rgb="FFB7950B"/>
        <bgColor rgb="FFFF9900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E8DAEF"/>
        <bgColor rgb="FFD9D9D9"/>
      </patternFill>
    </fill>
    <fill>
      <patternFill patternType="solid">
        <fgColor rgb="FFFEF9E7"/>
        <bgColor rgb="FFF9F9F9"/>
      </patternFill>
    </fill>
    <fill>
      <patternFill patternType="solid">
        <fgColor rgb="FFEBF5FB"/>
        <bgColor rgb="FFF0F4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CCCCCC"/>
      <rgbColor rgb="FF878787"/>
      <rgbColor rgb="FF7F8C8D"/>
      <rgbColor rgb="FF6C3483"/>
      <rgbColor rgb="FFFEF9E7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9F9F9"/>
      <rgbColor rgb="FFF0F4FF"/>
      <rgbColor rgb="FFFF99CC"/>
      <rgbColor rgb="FFCC99FF"/>
      <rgbColor rgb="FFE8DAEF"/>
      <rgbColor rgb="FF4F81BD"/>
      <rgbColor rgb="FF33CCCC"/>
      <rgbColor rgb="FF99CC00"/>
      <rgbColor rgb="FFFFCC00"/>
      <rgbColor rgb="FFFF9900"/>
      <rgbColor rgb="FFFF6600"/>
      <rgbColor rgb="FF4A7EBB"/>
      <rgbColor rgb="FF999999"/>
      <rgbColor rgb="FF0F3460"/>
      <rgbColor rgb="FF1E8449"/>
      <rgbColor rgb="FF003300"/>
      <rgbColor rgb="FF1A1A2E"/>
      <rgbColor rgb="FF993300"/>
      <rgbColor rgb="FFBE4B48"/>
      <rgbColor rgb="FF1A5276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Profit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'Sales Dashboard'!B10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Dashboard'!$A$11:$A$22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Dashboard'!$B$11:$B$22</c:f>
              <c:numCache>
                <c:formatCode>\$#,##0</c:formatCode>
                <c:ptCount val="12"/>
                <c:pt idx="0">
                  <c:v>16810</c:v>
                </c:pt>
                <c:pt idx="1">
                  <c:v>27020</c:v>
                </c:pt>
                <c:pt idx="2">
                  <c:v>25100</c:v>
                </c:pt>
                <c:pt idx="3">
                  <c:v>25080</c:v>
                </c:pt>
                <c:pt idx="4">
                  <c:v>32340</c:v>
                </c:pt>
                <c:pt idx="5">
                  <c:v>22145</c:v>
                </c:pt>
                <c:pt idx="6">
                  <c:v>34570</c:v>
                </c:pt>
                <c:pt idx="7">
                  <c:v>34240</c:v>
                </c:pt>
                <c:pt idx="8">
                  <c:v>15730</c:v>
                </c:pt>
                <c:pt idx="9">
                  <c:v>22875</c:v>
                </c:pt>
                <c:pt idx="10">
                  <c:v>19320</c:v>
                </c:pt>
                <c:pt idx="11">
                  <c:v>18870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'Sales Dashboard'!C10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Dashboard'!$A$11:$A$22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Dashboard'!$C$11:$C$22</c:f>
              <c:numCache>
                <c:formatCode>\$#,##0</c:formatCode>
                <c:ptCount val="12"/>
                <c:pt idx="0">
                  <c:v>6789</c:v>
                </c:pt>
                <c:pt idx="1">
                  <c:v>10695</c:v>
                </c:pt>
                <c:pt idx="2">
                  <c:v>9757</c:v>
                </c:pt>
                <c:pt idx="3">
                  <c:v>9983</c:v>
                </c:pt>
                <c:pt idx="4">
                  <c:v>12542</c:v>
                </c:pt>
                <c:pt idx="5">
                  <c:v>8740</c:v>
                </c:pt>
                <c:pt idx="6">
                  <c:v>13365</c:v>
                </c:pt>
                <c:pt idx="7">
                  <c:v>13300</c:v>
                </c:pt>
                <c:pt idx="8">
                  <c:v>6195</c:v>
                </c:pt>
                <c:pt idx="9">
                  <c:v>9155</c:v>
                </c:pt>
                <c:pt idx="10">
                  <c:v>7492</c:v>
                </c:pt>
                <c:pt idx="11">
                  <c:v>7597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60279"/>
        <c:axId val="87544237"/>
      </c:lineChart>
      <c:catAx>
        <c:axId val="63602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44237"/>
        <c:crosses val="autoZero"/>
        <c:auto val="1"/>
        <c:lblAlgn val="ctr"/>
        <c:lblOffset val="100"/>
        <c:noMultiLvlLbl val="0"/>
      </c:catAx>
      <c:valAx>
        <c:axId val="875442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02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'Sales Dashboard'!I10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Dashboard'!$H$11:$H$14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'Sales Dashboard'!$I$11:$I$14</c:f>
              <c:numCache>
                <c:formatCode>\$#,##0</c:formatCode>
                <c:ptCount val="4"/>
                <c:pt idx="0">
                  <c:v>61855</c:v>
                </c:pt>
                <c:pt idx="1">
                  <c:v>82070</c:v>
                </c:pt>
                <c:pt idx="2">
                  <c:v>94595</c:v>
                </c:pt>
                <c:pt idx="3">
                  <c:v>55580</c:v>
                </c:pt>
              </c:numCache>
            </c:numRef>
          </c:val>
        </c:ser>
        <c:gapWidth val="150"/>
        <c:overlap val="0"/>
        <c:axId val="15807993"/>
        <c:axId val="51435939"/>
      </c:barChart>
      <c:catAx>
        <c:axId val="158079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35939"/>
        <c:crosses val="autoZero"/>
        <c:auto val="1"/>
        <c:lblAlgn val="ctr"/>
        <c:lblOffset val="100"/>
        <c:noMultiLvlLbl val="0"/>
      </c:catAx>
      <c:valAx>
        <c:axId val="514359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079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9</xdr:col>
      <xdr:colOff>307080</xdr:colOff>
      <xdr:row>48</xdr:row>
      <xdr:rowOff>107640</xdr:rowOff>
    </xdr:to>
    <xdr:graphicFrame>
      <xdr:nvGraphicFramePr>
        <xdr:cNvPr id="0" name="Chart 1"/>
        <xdr:cNvGraphicFramePr/>
      </xdr:nvGraphicFramePr>
      <xdr:xfrm>
        <a:off x="0" y="604836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15</xdr:col>
      <xdr:colOff>133920</xdr:colOff>
      <xdr:row>48</xdr:row>
      <xdr:rowOff>107640</xdr:rowOff>
    </xdr:to>
    <xdr:graphicFrame>
      <xdr:nvGraphicFramePr>
        <xdr:cNvPr id="1" name="Chart 2"/>
        <xdr:cNvGraphicFramePr/>
      </xdr:nvGraphicFramePr>
      <xdr:xfrm>
        <a:off x="5638680" y="6048360"/>
        <a:ext cx="64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11" min="8" style="0" width="14"/>
    <col collapsed="false" customWidth="true" hidden="false" outlineLevel="0" max="12" min="12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27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15" hidden="false" customHeight="false" outlineLevel="0" collapsed="false">
      <c r="A4" s="3" t="s">
        <v>13</v>
      </c>
      <c r="B4" s="3" t="s">
        <v>14</v>
      </c>
      <c r="C4" s="3" t="s">
        <v>15</v>
      </c>
      <c r="D4" s="4" t="s">
        <v>16</v>
      </c>
      <c r="E4" s="4" t="s">
        <v>17</v>
      </c>
      <c r="F4" s="3" t="s">
        <v>18</v>
      </c>
      <c r="G4" s="5" t="n">
        <v>9</v>
      </c>
      <c r="H4" s="5" t="n">
        <v>150</v>
      </c>
      <c r="I4" s="5" t="n">
        <v>1350</v>
      </c>
      <c r="J4" s="5" t="n">
        <v>810</v>
      </c>
      <c r="K4" s="5" t="n">
        <v>540</v>
      </c>
      <c r="L4" s="6" t="n">
        <f aca="false">K4/I4</f>
        <v>0.4</v>
      </c>
    </row>
    <row r="5" customFormat="false" ht="15" hidden="false" customHeight="false" outlineLevel="0" collapsed="false">
      <c r="A5" s="7" t="s">
        <v>19</v>
      </c>
      <c r="B5" s="7" t="s">
        <v>20</v>
      </c>
      <c r="C5" s="7" t="s">
        <v>21</v>
      </c>
      <c r="D5" s="8" t="s">
        <v>22</v>
      </c>
      <c r="E5" s="8" t="s">
        <v>23</v>
      </c>
      <c r="F5" s="7" t="s">
        <v>24</v>
      </c>
      <c r="G5" s="9" t="n">
        <v>23</v>
      </c>
      <c r="H5" s="9" t="n">
        <v>400</v>
      </c>
      <c r="I5" s="9" t="n">
        <v>9200</v>
      </c>
      <c r="J5" s="9" t="n">
        <v>5750</v>
      </c>
      <c r="K5" s="9" t="n">
        <v>3450</v>
      </c>
      <c r="L5" s="10" t="n">
        <f aca="false">K5/I5</f>
        <v>0.375</v>
      </c>
    </row>
    <row r="6" customFormat="false" ht="15" hidden="false" customHeight="false" outlineLevel="0" collapsed="false">
      <c r="A6" s="3" t="s">
        <v>25</v>
      </c>
      <c r="B6" s="3" t="s">
        <v>26</v>
      </c>
      <c r="C6" s="3" t="s">
        <v>15</v>
      </c>
      <c r="D6" s="4" t="s">
        <v>27</v>
      </c>
      <c r="E6" s="4" t="s">
        <v>28</v>
      </c>
      <c r="F6" s="3" t="s">
        <v>24</v>
      </c>
      <c r="G6" s="5" t="n">
        <v>2</v>
      </c>
      <c r="H6" s="5" t="n">
        <v>800</v>
      </c>
      <c r="I6" s="5" t="n">
        <v>1600</v>
      </c>
      <c r="J6" s="5" t="n">
        <v>1000</v>
      </c>
      <c r="K6" s="5" t="n">
        <v>600</v>
      </c>
      <c r="L6" s="6" t="n">
        <f aca="false">K6/I6</f>
        <v>0.375</v>
      </c>
    </row>
    <row r="7" customFormat="false" ht="15" hidden="false" customHeight="false" outlineLevel="0" collapsed="false">
      <c r="A7" s="7" t="s">
        <v>29</v>
      </c>
      <c r="B7" s="7" t="s">
        <v>30</v>
      </c>
      <c r="C7" s="7" t="s">
        <v>15</v>
      </c>
      <c r="D7" s="8" t="s">
        <v>31</v>
      </c>
      <c r="E7" s="8" t="s">
        <v>32</v>
      </c>
      <c r="F7" s="7" t="s">
        <v>18</v>
      </c>
      <c r="G7" s="9" t="n">
        <v>18</v>
      </c>
      <c r="H7" s="9" t="n">
        <v>200</v>
      </c>
      <c r="I7" s="9" t="n">
        <v>3600</v>
      </c>
      <c r="J7" s="9" t="n">
        <v>2160</v>
      </c>
      <c r="K7" s="9" t="n">
        <v>1440</v>
      </c>
      <c r="L7" s="10" t="n">
        <f aca="false">K7/I7</f>
        <v>0.4</v>
      </c>
    </row>
    <row r="8" customFormat="false" ht="15" hidden="false" customHeight="false" outlineLevel="0" collapsed="false">
      <c r="A8" s="3" t="s">
        <v>33</v>
      </c>
      <c r="B8" s="3" t="s">
        <v>34</v>
      </c>
      <c r="C8" s="3" t="s">
        <v>15</v>
      </c>
      <c r="D8" s="4" t="s">
        <v>31</v>
      </c>
      <c r="E8" s="4" t="s">
        <v>35</v>
      </c>
      <c r="F8" s="3" t="s">
        <v>18</v>
      </c>
      <c r="G8" s="5" t="n">
        <v>15</v>
      </c>
      <c r="H8" s="5" t="n">
        <v>60</v>
      </c>
      <c r="I8" s="5" t="n">
        <v>900</v>
      </c>
      <c r="J8" s="5" t="n">
        <v>525</v>
      </c>
      <c r="K8" s="5" t="n">
        <v>375</v>
      </c>
      <c r="L8" s="6" t="n">
        <f aca="false">K8/I8</f>
        <v>0.416666666666667</v>
      </c>
    </row>
    <row r="9" customFormat="false" ht="15" hidden="false" customHeight="false" outlineLevel="0" collapsed="false">
      <c r="A9" s="7" t="s">
        <v>36</v>
      </c>
      <c r="B9" s="7" t="s">
        <v>37</v>
      </c>
      <c r="C9" s="7" t="s">
        <v>21</v>
      </c>
      <c r="D9" s="8" t="s">
        <v>38</v>
      </c>
      <c r="E9" s="8" t="s">
        <v>39</v>
      </c>
      <c r="F9" s="7" t="s">
        <v>40</v>
      </c>
      <c r="G9" s="9" t="n">
        <v>10</v>
      </c>
      <c r="H9" s="9" t="n">
        <v>15</v>
      </c>
      <c r="I9" s="9" t="n">
        <v>150</v>
      </c>
      <c r="J9" s="9" t="n">
        <v>50</v>
      </c>
      <c r="K9" s="9" t="n">
        <v>100</v>
      </c>
      <c r="L9" s="10" t="n">
        <f aca="false">K9/I9</f>
        <v>0.666666666666667</v>
      </c>
    </row>
    <row r="10" customFormat="false" ht="15" hidden="false" customHeight="false" outlineLevel="0" collapsed="false">
      <c r="A10" s="3" t="s">
        <v>41</v>
      </c>
      <c r="B10" s="3" t="s">
        <v>42</v>
      </c>
      <c r="C10" s="3" t="s">
        <v>15</v>
      </c>
      <c r="D10" s="4" t="s">
        <v>22</v>
      </c>
      <c r="E10" s="4" t="s">
        <v>43</v>
      </c>
      <c r="F10" s="3" t="s">
        <v>24</v>
      </c>
      <c r="G10" s="5" t="n">
        <v>12</v>
      </c>
      <c r="H10" s="5" t="n">
        <v>80</v>
      </c>
      <c r="I10" s="5" t="n">
        <v>960</v>
      </c>
      <c r="J10" s="5" t="n">
        <v>540</v>
      </c>
      <c r="K10" s="5" t="n">
        <v>420</v>
      </c>
      <c r="L10" s="6" t="n">
        <f aca="false">K10/I10</f>
        <v>0.4375</v>
      </c>
    </row>
    <row r="11" customFormat="false" ht="15" hidden="false" customHeight="false" outlineLevel="0" collapsed="false">
      <c r="A11" s="7" t="s">
        <v>44</v>
      </c>
      <c r="B11" s="7" t="s">
        <v>45</v>
      </c>
      <c r="C11" s="7" t="s">
        <v>46</v>
      </c>
      <c r="D11" s="8" t="s">
        <v>22</v>
      </c>
      <c r="E11" s="8" t="s">
        <v>32</v>
      </c>
      <c r="F11" s="7" t="s">
        <v>18</v>
      </c>
      <c r="G11" s="9" t="n">
        <v>12</v>
      </c>
      <c r="H11" s="9" t="n">
        <v>200</v>
      </c>
      <c r="I11" s="9" t="n">
        <v>2400</v>
      </c>
      <c r="J11" s="9" t="n">
        <v>1440</v>
      </c>
      <c r="K11" s="9" t="n">
        <v>960</v>
      </c>
      <c r="L11" s="10" t="n">
        <f aca="false">K11/I11</f>
        <v>0.4</v>
      </c>
    </row>
    <row r="12" customFormat="false" ht="15" hidden="false" customHeight="false" outlineLevel="0" collapsed="false">
      <c r="A12" s="3" t="s">
        <v>47</v>
      </c>
      <c r="B12" s="3" t="s">
        <v>48</v>
      </c>
      <c r="C12" s="3" t="s">
        <v>15</v>
      </c>
      <c r="D12" s="4" t="s">
        <v>49</v>
      </c>
      <c r="E12" s="4" t="s">
        <v>43</v>
      </c>
      <c r="F12" s="3" t="s">
        <v>24</v>
      </c>
      <c r="G12" s="5" t="n">
        <v>5</v>
      </c>
      <c r="H12" s="5" t="n">
        <v>80</v>
      </c>
      <c r="I12" s="5" t="n">
        <v>400</v>
      </c>
      <c r="J12" s="5" t="n">
        <v>225</v>
      </c>
      <c r="K12" s="5" t="n">
        <v>175</v>
      </c>
      <c r="L12" s="6" t="n">
        <f aca="false">K12/I12</f>
        <v>0.4375</v>
      </c>
    </row>
    <row r="13" customFormat="false" ht="15" hidden="false" customHeight="false" outlineLevel="0" collapsed="false">
      <c r="A13" s="7" t="s">
        <v>50</v>
      </c>
      <c r="B13" s="7" t="s">
        <v>51</v>
      </c>
      <c r="C13" s="7" t="s">
        <v>46</v>
      </c>
      <c r="D13" s="8" t="s">
        <v>52</v>
      </c>
      <c r="E13" s="8" t="s">
        <v>39</v>
      </c>
      <c r="F13" s="7" t="s">
        <v>40</v>
      </c>
      <c r="G13" s="9" t="n">
        <v>10</v>
      </c>
      <c r="H13" s="9" t="n">
        <v>15</v>
      </c>
      <c r="I13" s="9" t="n">
        <v>150</v>
      </c>
      <c r="J13" s="9" t="n">
        <v>50</v>
      </c>
      <c r="K13" s="9" t="n">
        <v>100</v>
      </c>
      <c r="L13" s="10" t="n">
        <f aca="false">K13/I13</f>
        <v>0.666666666666667</v>
      </c>
    </row>
    <row r="14" customFormat="false" ht="15" hidden="false" customHeight="false" outlineLevel="0" collapsed="false">
      <c r="A14" s="3" t="s">
        <v>53</v>
      </c>
      <c r="B14" s="3" t="s">
        <v>54</v>
      </c>
      <c r="C14" s="3" t="s">
        <v>15</v>
      </c>
      <c r="D14" s="4" t="s">
        <v>38</v>
      </c>
      <c r="E14" s="4" t="s">
        <v>35</v>
      </c>
      <c r="F14" s="3" t="s">
        <v>18</v>
      </c>
      <c r="G14" s="5" t="n">
        <v>5</v>
      </c>
      <c r="H14" s="5" t="n">
        <v>60</v>
      </c>
      <c r="I14" s="5" t="n">
        <v>300</v>
      </c>
      <c r="J14" s="5" t="n">
        <v>175</v>
      </c>
      <c r="K14" s="5" t="n">
        <v>125</v>
      </c>
      <c r="L14" s="6" t="n">
        <f aca="false">K14/I14</f>
        <v>0.416666666666667</v>
      </c>
    </row>
    <row r="15" customFormat="false" ht="15" hidden="false" customHeight="false" outlineLevel="0" collapsed="false">
      <c r="A15" s="7" t="s">
        <v>55</v>
      </c>
      <c r="B15" s="7" t="s">
        <v>56</v>
      </c>
      <c r="C15" s="7" t="s">
        <v>57</v>
      </c>
      <c r="D15" s="8" t="s">
        <v>49</v>
      </c>
      <c r="E15" s="8" t="s">
        <v>35</v>
      </c>
      <c r="F15" s="7" t="s">
        <v>18</v>
      </c>
      <c r="G15" s="9" t="n">
        <v>11</v>
      </c>
      <c r="H15" s="9" t="n">
        <v>60</v>
      </c>
      <c r="I15" s="9" t="n">
        <v>660</v>
      </c>
      <c r="J15" s="9" t="n">
        <v>385</v>
      </c>
      <c r="K15" s="9" t="n">
        <v>275</v>
      </c>
      <c r="L15" s="10" t="n">
        <f aca="false">K15/I15</f>
        <v>0.416666666666667</v>
      </c>
    </row>
    <row r="16" customFormat="false" ht="15" hidden="false" customHeight="false" outlineLevel="0" collapsed="false">
      <c r="A16" s="3" t="s">
        <v>58</v>
      </c>
      <c r="B16" s="3" t="s">
        <v>14</v>
      </c>
      <c r="C16" s="3" t="s">
        <v>46</v>
      </c>
      <c r="D16" s="4" t="s">
        <v>31</v>
      </c>
      <c r="E16" s="4" t="s">
        <v>23</v>
      </c>
      <c r="F16" s="3" t="s">
        <v>24</v>
      </c>
      <c r="G16" s="5" t="n">
        <v>3</v>
      </c>
      <c r="H16" s="5" t="n">
        <v>400</v>
      </c>
      <c r="I16" s="5" t="n">
        <v>1200</v>
      </c>
      <c r="J16" s="5" t="n">
        <v>750</v>
      </c>
      <c r="K16" s="5" t="n">
        <v>450</v>
      </c>
      <c r="L16" s="6" t="n">
        <f aca="false">K16/I16</f>
        <v>0.375</v>
      </c>
    </row>
    <row r="17" customFormat="false" ht="15" hidden="false" customHeight="false" outlineLevel="0" collapsed="false">
      <c r="A17" s="7" t="s">
        <v>59</v>
      </c>
      <c r="B17" s="7" t="s">
        <v>20</v>
      </c>
      <c r="C17" s="7" t="s">
        <v>21</v>
      </c>
      <c r="D17" s="8" t="s">
        <v>60</v>
      </c>
      <c r="E17" s="8" t="s">
        <v>23</v>
      </c>
      <c r="F17" s="7" t="s">
        <v>24</v>
      </c>
      <c r="G17" s="9" t="n">
        <v>9</v>
      </c>
      <c r="H17" s="9" t="n">
        <v>400</v>
      </c>
      <c r="I17" s="9" t="n">
        <v>3600</v>
      </c>
      <c r="J17" s="9" t="n">
        <v>2250</v>
      </c>
      <c r="K17" s="9" t="n">
        <v>1350</v>
      </c>
      <c r="L17" s="10" t="n">
        <f aca="false">K17/I17</f>
        <v>0.375</v>
      </c>
    </row>
    <row r="18" customFormat="false" ht="15" hidden="false" customHeight="false" outlineLevel="0" collapsed="false">
      <c r="A18" s="3" t="s">
        <v>61</v>
      </c>
      <c r="B18" s="3" t="s">
        <v>26</v>
      </c>
      <c r="C18" s="3" t="s">
        <v>15</v>
      </c>
      <c r="D18" s="4" t="s">
        <v>27</v>
      </c>
      <c r="E18" s="4" t="s">
        <v>17</v>
      </c>
      <c r="F18" s="3" t="s">
        <v>18</v>
      </c>
      <c r="G18" s="5" t="n">
        <v>16</v>
      </c>
      <c r="H18" s="5" t="n">
        <v>150</v>
      </c>
      <c r="I18" s="5" t="n">
        <v>2400</v>
      </c>
      <c r="J18" s="5" t="n">
        <v>1440</v>
      </c>
      <c r="K18" s="5" t="n">
        <v>960</v>
      </c>
      <c r="L18" s="6" t="n">
        <f aca="false">K18/I18</f>
        <v>0.4</v>
      </c>
    </row>
    <row r="19" customFormat="false" ht="15" hidden="false" customHeight="false" outlineLevel="0" collapsed="false">
      <c r="A19" s="7" t="s">
        <v>62</v>
      </c>
      <c r="B19" s="7" t="s">
        <v>30</v>
      </c>
      <c r="C19" s="7" t="s">
        <v>46</v>
      </c>
      <c r="D19" s="8" t="s">
        <v>22</v>
      </c>
      <c r="E19" s="8" t="s">
        <v>63</v>
      </c>
      <c r="F19" s="7" t="s">
        <v>24</v>
      </c>
      <c r="G19" s="9" t="n">
        <v>13</v>
      </c>
      <c r="H19" s="9" t="n">
        <v>250</v>
      </c>
      <c r="I19" s="9" t="n">
        <v>3250</v>
      </c>
      <c r="J19" s="9" t="n">
        <v>1950</v>
      </c>
      <c r="K19" s="9" t="n">
        <v>1300</v>
      </c>
      <c r="L19" s="10" t="n">
        <f aca="false">K19/I19</f>
        <v>0.4</v>
      </c>
    </row>
    <row r="20" customFormat="false" ht="15" hidden="false" customHeight="false" outlineLevel="0" collapsed="false">
      <c r="A20" s="3" t="s">
        <v>64</v>
      </c>
      <c r="B20" s="3" t="s">
        <v>34</v>
      </c>
      <c r="C20" s="3" t="s">
        <v>21</v>
      </c>
      <c r="D20" s="4" t="s">
        <v>60</v>
      </c>
      <c r="E20" s="4" t="s">
        <v>23</v>
      </c>
      <c r="F20" s="3" t="s">
        <v>24</v>
      </c>
      <c r="G20" s="5" t="n">
        <v>21</v>
      </c>
      <c r="H20" s="5" t="n">
        <v>400</v>
      </c>
      <c r="I20" s="5" t="n">
        <v>8400</v>
      </c>
      <c r="J20" s="5" t="n">
        <v>5250</v>
      </c>
      <c r="K20" s="5" t="n">
        <v>3150</v>
      </c>
      <c r="L20" s="6" t="n">
        <f aca="false">K20/I20</f>
        <v>0.375</v>
      </c>
    </row>
    <row r="21" customFormat="false" ht="15" hidden="false" customHeight="false" outlineLevel="0" collapsed="false">
      <c r="A21" s="7" t="s">
        <v>65</v>
      </c>
      <c r="B21" s="7" t="s">
        <v>37</v>
      </c>
      <c r="C21" s="7" t="s">
        <v>21</v>
      </c>
      <c r="D21" s="8" t="s">
        <v>31</v>
      </c>
      <c r="E21" s="8" t="s">
        <v>66</v>
      </c>
      <c r="F21" s="7" t="s">
        <v>24</v>
      </c>
      <c r="G21" s="9" t="n">
        <v>16</v>
      </c>
      <c r="H21" s="9" t="n">
        <v>300</v>
      </c>
      <c r="I21" s="9" t="n">
        <v>4800</v>
      </c>
      <c r="J21" s="9" t="n">
        <v>2880</v>
      </c>
      <c r="K21" s="9" t="n">
        <v>1920</v>
      </c>
      <c r="L21" s="10" t="n">
        <f aca="false">K21/I21</f>
        <v>0.4</v>
      </c>
    </row>
    <row r="22" customFormat="false" ht="15" hidden="false" customHeight="false" outlineLevel="0" collapsed="false">
      <c r="A22" s="3" t="s">
        <v>67</v>
      </c>
      <c r="B22" s="3" t="s">
        <v>42</v>
      </c>
      <c r="C22" s="3" t="s">
        <v>57</v>
      </c>
      <c r="D22" s="4" t="s">
        <v>60</v>
      </c>
      <c r="E22" s="4" t="s">
        <v>35</v>
      </c>
      <c r="F22" s="3" t="s">
        <v>18</v>
      </c>
      <c r="G22" s="5" t="n">
        <v>9</v>
      </c>
      <c r="H22" s="5" t="n">
        <v>60</v>
      </c>
      <c r="I22" s="5" t="n">
        <v>540</v>
      </c>
      <c r="J22" s="5" t="n">
        <v>315</v>
      </c>
      <c r="K22" s="5" t="n">
        <v>225</v>
      </c>
      <c r="L22" s="6" t="n">
        <f aca="false">K22/I22</f>
        <v>0.416666666666667</v>
      </c>
    </row>
    <row r="23" customFormat="false" ht="15" hidden="false" customHeight="false" outlineLevel="0" collapsed="false">
      <c r="A23" s="7" t="s">
        <v>68</v>
      </c>
      <c r="B23" s="7" t="s">
        <v>45</v>
      </c>
      <c r="C23" s="7" t="s">
        <v>46</v>
      </c>
      <c r="D23" s="8" t="s">
        <v>16</v>
      </c>
      <c r="E23" s="8" t="s">
        <v>32</v>
      </c>
      <c r="F23" s="7" t="s">
        <v>18</v>
      </c>
      <c r="G23" s="9" t="n">
        <v>3</v>
      </c>
      <c r="H23" s="9" t="n">
        <v>200</v>
      </c>
      <c r="I23" s="9" t="n">
        <v>600</v>
      </c>
      <c r="J23" s="9" t="n">
        <v>360</v>
      </c>
      <c r="K23" s="9" t="n">
        <v>240</v>
      </c>
      <c r="L23" s="10" t="n">
        <f aca="false">K23/I23</f>
        <v>0.4</v>
      </c>
    </row>
    <row r="24" customFormat="false" ht="15" hidden="false" customHeight="false" outlineLevel="0" collapsed="false">
      <c r="A24" s="3" t="s">
        <v>69</v>
      </c>
      <c r="B24" s="3" t="s">
        <v>48</v>
      </c>
      <c r="C24" s="3" t="s">
        <v>46</v>
      </c>
      <c r="D24" s="4" t="s">
        <v>27</v>
      </c>
      <c r="E24" s="4" t="s">
        <v>17</v>
      </c>
      <c r="F24" s="3" t="s">
        <v>18</v>
      </c>
      <c r="G24" s="5" t="n">
        <v>4</v>
      </c>
      <c r="H24" s="5" t="n">
        <v>150</v>
      </c>
      <c r="I24" s="5" t="n">
        <v>600</v>
      </c>
      <c r="J24" s="5" t="n">
        <v>360</v>
      </c>
      <c r="K24" s="5" t="n">
        <v>240</v>
      </c>
      <c r="L24" s="6" t="n">
        <f aca="false">K24/I24</f>
        <v>0.4</v>
      </c>
    </row>
    <row r="25" customFormat="false" ht="15" hidden="false" customHeight="false" outlineLevel="0" collapsed="false">
      <c r="A25" s="7" t="s">
        <v>70</v>
      </c>
      <c r="B25" s="7" t="s">
        <v>51</v>
      </c>
      <c r="C25" s="7" t="s">
        <v>21</v>
      </c>
      <c r="D25" s="8" t="s">
        <v>52</v>
      </c>
      <c r="E25" s="8" t="s">
        <v>32</v>
      </c>
      <c r="F25" s="7" t="s">
        <v>18</v>
      </c>
      <c r="G25" s="9" t="n">
        <v>22</v>
      </c>
      <c r="H25" s="9" t="n">
        <v>200</v>
      </c>
      <c r="I25" s="9" t="n">
        <v>4400</v>
      </c>
      <c r="J25" s="9" t="n">
        <v>2640</v>
      </c>
      <c r="K25" s="9" t="n">
        <v>1760</v>
      </c>
      <c r="L25" s="10" t="n">
        <f aca="false">K25/I25</f>
        <v>0.4</v>
      </c>
    </row>
    <row r="26" customFormat="false" ht="15" hidden="false" customHeight="false" outlineLevel="0" collapsed="false">
      <c r="A26" s="3" t="s">
        <v>71</v>
      </c>
      <c r="B26" s="3" t="s">
        <v>54</v>
      </c>
      <c r="C26" s="3" t="s">
        <v>57</v>
      </c>
      <c r="D26" s="4" t="s">
        <v>27</v>
      </c>
      <c r="E26" s="4" t="s">
        <v>72</v>
      </c>
      <c r="F26" s="3" t="s">
        <v>24</v>
      </c>
      <c r="G26" s="5" t="n">
        <v>6</v>
      </c>
      <c r="H26" s="5" t="n">
        <v>50</v>
      </c>
      <c r="I26" s="5" t="n">
        <v>300</v>
      </c>
      <c r="J26" s="5" t="n">
        <v>168</v>
      </c>
      <c r="K26" s="5" t="n">
        <v>132</v>
      </c>
      <c r="L26" s="6" t="n">
        <f aca="false">K26/I26</f>
        <v>0.44</v>
      </c>
    </row>
    <row r="27" customFormat="false" ht="15" hidden="false" customHeight="false" outlineLevel="0" collapsed="false">
      <c r="A27" s="7" t="s">
        <v>73</v>
      </c>
      <c r="B27" s="7" t="s">
        <v>56</v>
      </c>
      <c r="C27" s="7" t="s">
        <v>46</v>
      </c>
      <c r="D27" s="8" t="s">
        <v>22</v>
      </c>
      <c r="E27" s="8" t="s">
        <v>32</v>
      </c>
      <c r="F27" s="7" t="s">
        <v>18</v>
      </c>
      <c r="G27" s="9" t="n">
        <v>25</v>
      </c>
      <c r="H27" s="9" t="n">
        <v>200</v>
      </c>
      <c r="I27" s="9" t="n">
        <v>5000</v>
      </c>
      <c r="J27" s="9" t="n">
        <v>3000</v>
      </c>
      <c r="K27" s="9" t="n">
        <v>2000</v>
      </c>
      <c r="L27" s="10" t="n">
        <f aca="false">K27/I27</f>
        <v>0.4</v>
      </c>
    </row>
    <row r="28" customFormat="false" ht="15" hidden="false" customHeight="false" outlineLevel="0" collapsed="false">
      <c r="A28" s="3" t="s">
        <v>74</v>
      </c>
      <c r="B28" s="3" t="s">
        <v>14</v>
      </c>
      <c r="C28" s="3" t="s">
        <v>46</v>
      </c>
      <c r="D28" s="4" t="s">
        <v>27</v>
      </c>
      <c r="E28" s="4" t="s">
        <v>39</v>
      </c>
      <c r="F28" s="3" t="s">
        <v>40</v>
      </c>
      <c r="G28" s="5" t="n">
        <v>14</v>
      </c>
      <c r="H28" s="5" t="n">
        <v>15</v>
      </c>
      <c r="I28" s="5" t="n">
        <v>210</v>
      </c>
      <c r="J28" s="5" t="n">
        <v>70</v>
      </c>
      <c r="K28" s="5" t="n">
        <v>140</v>
      </c>
      <c r="L28" s="6" t="n">
        <f aca="false">K28/I28</f>
        <v>0.666666666666667</v>
      </c>
    </row>
    <row r="29" customFormat="false" ht="15" hidden="false" customHeight="false" outlineLevel="0" collapsed="false">
      <c r="A29" s="7" t="s">
        <v>75</v>
      </c>
      <c r="B29" s="7" t="s">
        <v>20</v>
      </c>
      <c r="C29" s="7" t="s">
        <v>46</v>
      </c>
      <c r="D29" s="8" t="s">
        <v>31</v>
      </c>
      <c r="E29" s="8" t="s">
        <v>66</v>
      </c>
      <c r="F29" s="7" t="s">
        <v>24</v>
      </c>
      <c r="G29" s="9" t="n">
        <v>18</v>
      </c>
      <c r="H29" s="9" t="n">
        <v>300</v>
      </c>
      <c r="I29" s="9" t="n">
        <v>5400</v>
      </c>
      <c r="J29" s="9" t="n">
        <v>3240</v>
      </c>
      <c r="K29" s="9" t="n">
        <v>2160</v>
      </c>
      <c r="L29" s="10" t="n">
        <f aca="false">K29/I29</f>
        <v>0.4</v>
      </c>
    </row>
    <row r="30" customFormat="false" ht="15" hidden="false" customHeight="false" outlineLevel="0" collapsed="false">
      <c r="A30" s="3" t="s">
        <v>76</v>
      </c>
      <c r="B30" s="3" t="s">
        <v>26</v>
      </c>
      <c r="C30" s="3" t="s">
        <v>57</v>
      </c>
      <c r="D30" s="4" t="s">
        <v>49</v>
      </c>
      <c r="E30" s="4" t="s">
        <v>28</v>
      </c>
      <c r="F30" s="3" t="s">
        <v>24</v>
      </c>
      <c r="G30" s="5" t="n">
        <v>5</v>
      </c>
      <c r="H30" s="5" t="n">
        <v>800</v>
      </c>
      <c r="I30" s="5" t="n">
        <v>4000</v>
      </c>
      <c r="J30" s="5" t="n">
        <v>2500</v>
      </c>
      <c r="K30" s="5" t="n">
        <v>1500</v>
      </c>
      <c r="L30" s="6" t="n">
        <f aca="false">K30/I30</f>
        <v>0.375</v>
      </c>
    </row>
    <row r="31" customFormat="false" ht="15" hidden="false" customHeight="false" outlineLevel="0" collapsed="false">
      <c r="A31" s="7" t="s">
        <v>77</v>
      </c>
      <c r="B31" s="7" t="s">
        <v>30</v>
      </c>
      <c r="C31" s="7" t="s">
        <v>21</v>
      </c>
      <c r="D31" s="8" t="s">
        <v>22</v>
      </c>
      <c r="E31" s="8" t="s">
        <v>43</v>
      </c>
      <c r="F31" s="7" t="s">
        <v>24</v>
      </c>
      <c r="G31" s="9" t="n">
        <v>21</v>
      </c>
      <c r="H31" s="9" t="n">
        <v>80</v>
      </c>
      <c r="I31" s="9" t="n">
        <v>1680</v>
      </c>
      <c r="J31" s="9" t="n">
        <v>945</v>
      </c>
      <c r="K31" s="9" t="n">
        <v>735</v>
      </c>
      <c r="L31" s="10" t="n">
        <f aca="false">K31/I31</f>
        <v>0.4375</v>
      </c>
    </row>
    <row r="32" customFormat="false" ht="15" hidden="false" customHeight="false" outlineLevel="0" collapsed="false">
      <c r="A32" s="3" t="s">
        <v>78</v>
      </c>
      <c r="B32" s="3" t="s">
        <v>34</v>
      </c>
      <c r="C32" s="3" t="s">
        <v>15</v>
      </c>
      <c r="D32" s="4" t="s">
        <v>27</v>
      </c>
      <c r="E32" s="4" t="s">
        <v>43</v>
      </c>
      <c r="F32" s="3" t="s">
        <v>24</v>
      </c>
      <c r="G32" s="5" t="n">
        <v>21</v>
      </c>
      <c r="H32" s="5" t="n">
        <v>80</v>
      </c>
      <c r="I32" s="5" t="n">
        <v>1680</v>
      </c>
      <c r="J32" s="5" t="n">
        <v>945</v>
      </c>
      <c r="K32" s="5" t="n">
        <v>735</v>
      </c>
      <c r="L32" s="6" t="n">
        <f aca="false">K32/I32</f>
        <v>0.4375</v>
      </c>
    </row>
    <row r="33" customFormat="false" ht="15" hidden="false" customHeight="false" outlineLevel="0" collapsed="false">
      <c r="A33" s="7" t="s">
        <v>79</v>
      </c>
      <c r="B33" s="7" t="s">
        <v>37</v>
      </c>
      <c r="C33" s="7" t="s">
        <v>57</v>
      </c>
      <c r="D33" s="8" t="s">
        <v>60</v>
      </c>
      <c r="E33" s="8" t="s">
        <v>35</v>
      </c>
      <c r="F33" s="7" t="s">
        <v>18</v>
      </c>
      <c r="G33" s="9" t="n">
        <v>2</v>
      </c>
      <c r="H33" s="9" t="n">
        <v>60</v>
      </c>
      <c r="I33" s="9" t="n">
        <v>120</v>
      </c>
      <c r="J33" s="9" t="n">
        <v>70</v>
      </c>
      <c r="K33" s="9" t="n">
        <v>50</v>
      </c>
      <c r="L33" s="10" t="n">
        <f aca="false">K33/I33</f>
        <v>0.416666666666667</v>
      </c>
    </row>
    <row r="34" customFormat="false" ht="15" hidden="false" customHeight="false" outlineLevel="0" collapsed="false">
      <c r="A34" s="3" t="s">
        <v>80</v>
      </c>
      <c r="B34" s="3" t="s">
        <v>42</v>
      </c>
      <c r="C34" s="3" t="s">
        <v>15</v>
      </c>
      <c r="D34" s="4" t="s">
        <v>60</v>
      </c>
      <c r="E34" s="4" t="s">
        <v>63</v>
      </c>
      <c r="F34" s="3" t="s">
        <v>24</v>
      </c>
      <c r="G34" s="5" t="n">
        <v>5</v>
      </c>
      <c r="H34" s="5" t="n">
        <v>250</v>
      </c>
      <c r="I34" s="5" t="n">
        <v>1250</v>
      </c>
      <c r="J34" s="5" t="n">
        <v>750</v>
      </c>
      <c r="K34" s="5" t="n">
        <v>500</v>
      </c>
      <c r="L34" s="6" t="n">
        <f aca="false">K34/I34</f>
        <v>0.4</v>
      </c>
    </row>
    <row r="35" customFormat="false" ht="15" hidden="false" customHeight="false" outlineLevel="0" collapsed="false">
      <c r="A35" s="7" t="s">
        <v>81</v>
      </c>
      <c r="B35" s="7" t="s">
        <v>45</v>
      </c>
      <c r="C35" s="7" t="s">
        <v>46</v>
      </c>
      <c r="D35" s="8" t="s">
        <v>27</v>
      </c>
      <c r="E35" s="8" t="s">
        <v>66</v>
      </c>
      <c r="F35" s="7" t="s">
        <v>24</v>
      </c>
      <c r="G35" s="9" t="n">
        <v>16</v>
      </c>
      <c r="H35" s="9" t="n">
        <v>300</v>
      </c>
      <c r="I35" s="9" t="n">
        <v>4800</v>
      </c>
      <c r="J35" s="9" t="n">
        <v>2880</v>
      </c>
      <c r="K35" s="9" t="n">
        <v>1920</v>
      </c>
      <c r="L35" s="10" t="n">
        <f aca="false">K35/I35</f>
        <v>0.4</v>
      </c>
    </row>
    <row r="36" customFormat="false" ht="15" hidden="false" customHeight="false" outlineLevel="0" collapsed="false">
      <c r="A36" s="3" t="s">
        <v>82</v>
      </c>
      <c r="B36" s="3" t="s">
        <v>48</v>
      </c>
      <c r="C36" s="3" t="s">
        <v>15</v>
      </c>
      <c r="D36" s="4" t="s">
        <v>60</v>
      </c>
      <c r="E36" s="4" t="s">
        <v>35</v>
      </c>
      <c r="F36" s="3" t="s">
        <v>18</v>
      </c>
      <c r="G36" s="5" t="n">
        <v>7</v>
      </c>
      <c r="H36" s="5" t="n">
        <v>60</v>
      </c>
      <c r="I36" s="5" t="n">
        <v>420</v>
      </c>
      <c r="J36" s="5" t="n">
        <v>245</v>
      </c>
      <c r="K36" s="5" t="n">
        <v>175</v>
      </c>
      <c r="L36" s="6" t="n">
        <f aca="false">K36/I36</f>
        <v>0.416666666666667</v>
      </c>
    </row>
    <row r="37" customFormat="false" ht="15" hidden="false" customHeight="false" outlineLevel="0" collapsed="false">
      <c r="A37" s="7" t="s">
        <v>83</v>
      </c>
      <c r="B37" s="7" t="s">
        <v>51</v>
      </c>
      <c r="C37" s="7" t="s">
        <v>15</v>
      </c>
      <c r="D37" s="8" t="s">
        <v>60</v>
      </c>
      <c r="E37" s="8" t="s">
        <v>35</v>
      </c>
      <c r="F37" s="7" t="s">
        <v>18</v>
      </c>
      <c r="G37" s="9" t="n">
        <v>21</v>
      </c>
      <c r="H37" s="9" t="n">
        <v>60</v>
      </c>
      <c r="I37" s="9" t="n">
        <v>1260</v>
      </c>
      <c r="J37" s="9" t="n">
        <v>735</v>
      </c>
      <c r="K37" s="9" t="n">
        <v>525</v>
      </c>
      <c r="L37" s="10" t="n">
        <f aca="false">K37/I37</f>
        <v>0.416666666666667</v>
      </c>
    </row>
    <row r="38" customFormat="false" ht="15" hidden="false" customHeight="false" outlineLevel="0" collapsed="false">
      <c r="A38" s="3" t="s">
        <v>84</v>
      </c>
      <c r="B38" s="3" t="s">
        <v>54</v>
      </c>
      <c r="C38" s="3" t="s">
        <v>21</v>
      </c>
      <c r="D38" s="4" t="s">
        <v>22</v>
      </c>
      <c r="E38" s="4" t="s">
        <v>63</v>
      </c>
      <c r="F38" s="3" t="s">
        <v>24</v>
      </c>
      <c r="G38" s="5" t="n">
        <v>7</v>
      </c>
      <c r="H38" s="5" t="n">
        <v>250</v>
      </c>
      <c r="I38" s="5" t="n">
        <v>1750</v>
      </c>
      <c r="J38" s="5" t="n">
        <v>1050</v>
      </c>
      <c r="K38" s="5" t="n">
        <v>700</v>
      </c>
      <c r="L38" s="6" t="n">
        <f aca="false">K38/I38</f>
        <v>0.4</v>
      </c>
    </row>
    <row r="39" customFormat="false" ht="15" hidden="false" customHeight="false" outlineLevel="0" collapsed="false">
      <c r="A39" s="7" t="s">
        <v>85</v>
      </c>
      <c r="B39" s="7" t="s">
        <v>56</v>
      </c>
      <c r="C39" s="7" t="s">
        <v>15</v>
      </c>
      <c r="D39" s="8" t="s">
        <v>52</v>
      </c>
      <c r="E39" s="8" t="s">
        <v>72</v>
      </c>
      <c r="F39" s="7" t="s">
        <v>24</v>
      </c>
      <c r="G39" s="9" t="n">
        <v>2</v>
      </c>
      <c r="H39" s="9" t="n">
        <v>50</v>
      </c>
      <c r="I39" s="9" t="n">
        <v>100</v>
      </c>
      <c r="J39" s="9" t="n">
        <v>56</v>
      </c>
      <c r="K39" s="9" t="n">
        <v>44</v>
      </c>
      <c r="L39" s="10" t="n">
        <f aca="false">K39/I39</f>
        <v>0.44</v>
      </c>
    </row>
    <row r="40" customFormat="false" ht="15" hidden="false" customHeight="false" outlineLevel="0" collapsed="false">
      <c r="A40" s="3" t="s">
        <v>86</v>
      </c>
      <c r="B40" s="3" t="s">
        <v>14</v>
      </c>
      <c r="C40" s="3" t="s">
        <v>15</v>
      </c>
      <c r="D40" s="4" t="s">
        <v>52</v>
      </c>
      <c r="E40" s="4" t="s">
        <v>17</v>
      </c>
      <c r="F40" s="3" t="s">
        <v>18</v>
      </c>
      <c r="G40" s="5" t="n">
        <v>9</v>
      </c>
      <c r="H40" s="5" t="n">
        <v>150</v>
      </c>
      <c r="I40" s="5" t="n">
        <v>1350</v>
      </c>
      <c r="J40" s="5" t="n">
        <v>810</v>
      </c>
      <c r="K40" s="5" t="n">
        <v>540</v>
      </c>
      <c r="L40" s="6" t="n">
        <f aca="false">K40/I40</f>
        <v>0.4</v>
      </c>
    </row>
    <row r="41" customFormat="false" ht="15" hidden="false" customHeight="false" outlineLevel="0" collapsed="false">
      <c r="A41" s="7" t="s">
        <v>87</v>
      </c>
      <c r="B41" s="7" t="s">
        <v>20</v>
      </c>
      <c r="C41" s="7" t="s">
        <v>15</v>
      </c>
      <c r="D41" s="8" t="s">
        <v>31</v>
      </c>
      <c r="E41" s="8" t="s">
        <v>39</v>
      </c>
      <c r="F41" s="7" t="s">
        <v>40</v>
      </c>
      <c r="G41" s="9" t="n">
        <v>4</v>
      </c>
      <c r="H41" s="9" t="n">
        <v>15</v>
      </c>
      <c r="I41" s="9" t="n">
        <v>60</v>
      </c>
      <c r="J41" s="9" t="n">
        <v>20</v>
      </c>
      <c r="K41" s="9" t="n">
        <v>40</v>
      </c>
      <c r="L41" s="10" t="n">
        <f aca="false">K41/I41</f>
        <v>0.666666666666667</v>
      </c>
    </row>
    <row r="42" customFormat="false" ht="15" hidden="false" customHeight="false" outlineLevel="0" collapsed="false">
      <c r="A42" s="3" t="s">
        <v>88</v>
      </c>
      <c r="B42" s="3" t="s">
        <v>26</v>
      </c>
      <c r="C42" s="3" t="s">
        <v>15</v>
      </c>
      <c r="D42" s="4" t="s">
        <v>38</v>
      </c>
      <c r="E42" s="4" t="s">
        <v>23</v>
      </c>
      <c r="F42" s="3" t="s">
        <v>24</v>
      </c>
      <c r="G42" s="5" t="n">
        <v>19</v>
      </c>
      <c r="H42" s="5" t="n">
        <v>400</v>
      </c>
      <c r="I42" s="5" t="n">
        <v>7600</v>
      </c>
      <c r="J42" s="5" t="n">
        <v>4750</v>
      </c>
      <c r="K42" s="5" t="n">
        <v>2850</v>
      </c>
      <c r="L42" s="6" t="n">
        <f aca="false">K42/I42</f>
        <v>0.375</v>
      </c>
    </row>
    <row r="43" customFormat="false" ht="15" hidden="false" customHeight="false" outlineLevel="0" collapsed="false">
      <c r="A43" s="7" t="s">
        <v>89</v>
      </c>
      <c r="B43" s="7" t="s">
        <v>30</v>
      </c>
      <c r="C43" s="7" t="s">
        <v>21</v>
      </c>
      <c r="D43" s="8" t="s">
        <v>22</v>
      </c>
      <c r="E43" s="8" t="s">
        <v>72</v>
      </c>
      <c r="F43" s="7" t="s">
        <v>24</v>
      </c>
      <c r="G43" s="9" t="n">
        <v>19</v>
      </c>
      <c r="H43" s="9" t="n">
        <v>50</v>
      </c>
      <c r="I43" s="9" t="n">
        <v>950</v>
      </c>
      <c r="J43" s="9" t="n">
        <v>532</v>
      </c>
      <c r="K43" s="9" t="n">
        <v>418</v>
      </c>
      <c r="L43" s="10" t="n">
        <f aca="false">K43/I43</f>
        <v>0.44</v>
      </c>
    </row>
    <row r="44" customFormat="false" ht="15" hidden="false" customHeight="false" outlineLevel="0" collapsed="false">
      <c r="A44" s="3" t="s">
        <v>90</v>
      </c>
      <c r="B44" s="3" t="s">
        <v>34</v>
      </c>
      <c r="C44" s="3" t="s">
        <v>21</v>
      </c>
      <c r="D44" s="4" t="s">
        <v>60</v>
      </c>
      <c r="E44" s="4" t="s">
        <v>35</v>
      </c>
      <c r="F44" s="3" t="s">
        <v>18</v>
      </c>
      <c r="G44" s="5" t="n">
        <v>21</v>
      </c>
      <c r="H44" s="5" t="n">
        <v>60</v>
      </c>
      <c r="I44" s="5" t="n">
        <v>1260</v>
      </c>
      <c r="J44" s="5" t="n">
        <v>735</v>
      </c>
      <c r="K44" s="5" t="n">
        <v>525</v>
      </c>
      <c r="L44" s="6" t="n">
        <f aca="false">K44/I44</f>
        <v>0.416666666666667</v>
      </c>
    </row>
    <row r="45" customFormat="false" ht="15" hidden="false" customHeight="false" outlineLevel="0" collapsed="false">
      <c r="A45" s="7" t="s">
        <v>91</v>
      </c>
      <c r="B45" s="7" t="s">
        <v>37</v>
      </c>
      <c r="C45" s="7" t="s">
        <v>57</v>
      </c>
      <c r="D45" s="8" t="s">
        <v>31</v>
      </c>
      <c r="E45" s="8" t="s">
        <v>35</v>
      </c>
      <c r="F45" s="7" t="s">
        <v>18</v>
      </c>
      <c r="G45" s="9" t="n">
        <v>25</v>
      </c>
      <c r="H45" s="9" t="n">
        <v>60</v>
      </c>
      <c r="I45" s="9" t="n">
        <v>1500</v>
      </c>
      <c r="J45" s="9" t="n">
        <v>875</v>
      </c>
      <c r="K45" s="9" t="n">
        <v>625</v>
      </c>
      <c r="L45" s="10" t="n">
        <f aca="false">K45/I45</f>
        <v>0.416666666666667</v>
      </c>
    </row>
    <row r="46" customFormat="false" ht="15" hidden="false" customHeight="false" outlineLevel="0" collapsed="false">
      <c r="A46" s="3" t="s">
        <v>92</v>
      </c>
      <c r="B46" s="3" t="s">
        <v>42</v>
      </c>
      <c r="C46" s="3" t="s">
        <v>21</v>
      </c>
      <c r="D46" s="4" t="s">
        <v>60</v>
      </c>
      <c r="E46" s="4" t="s">
        <v>43</v>
      </c>
      <c r="F46" s="3" t="s">
        <v>24</v>
      </c>
      <c r="G46" s="5" t="n">
        <v>23</v>
      </c>
      <c r="H46" s="5" t="n">
        <v>80</v>
      </c>
      <c r="I46" s="5" t="n">
        <v>1840</v>
      </c>
      <c r="J46" s="5" t="n">
        <v>1035</v>
      </c>
      <c r="K46" s="5" t="n">
        <v>805</v>
      </c>
      <c r="L46" s="6" t="n">
        <f aca="false">K46/I46</f>
        <v>0.4375</v>
      </c>
    </row>
    <row r="47" customFormat="false" ht="15" hidden="false" customHeight="false" outlineLevel="0" collapsed="false">
      <c r="A47" s="7" t="s">
        <v>93</v>
      </c>
      <c r="B47" s="7" t="s">
        <v>45</v>
      </c>
      <c r="C47" s="7" t="s">
        <v>46</v>
      </c>
      <c r="D47" s="8" t="s">
        <v>38</v>
      </c>
      <c r="E47" s="8" t="s">
        <v>35</v>
      </c>
      <c r="F47" s="7" t="s">
        <v>18</v>
      </c>
      <c r="G47" s="9" t="n">
        <v>16</v>
      </c>
      <c r="H47" s="9" t="n">
        <v>60</v>
      </c>
      <c r="I47" s="9" t="n">
        <v>960</v>
      </c>
      <c r="J47" s="9" t="n">
        <v>560</v>
      </c>
      <c r="K47" s="9" t="n">
        <v>400</v>
      </c>
      <c r="L47" s="10" t="n">
        <f aca="false">K47/I47</f>
        <v>0.416666666666667</v>
      </c>
    </row>
    <row r="48" customFormat="false" ht="15" hidden="false" customHeight="false" outlineLevel="0" collapsed="false">
      <c r="A48" s="3" t="s">
        <v>94</v>
      </c>
      <c r="B48" s="3" t="s">
        <v>48</v>
      </c>
      <c r="C48" s="3" t="s">
        <v>15</v>
      </c>
      <c r="D48" s="4" t="s">
        <v>31</v>
      </c>
      <c r="E48" s="4" t="s">
        <v>32</v>
      </c>
      <c r="F48" s="3" t="s">
        <v>18</v>
      </c>
      <c r="G48" s="5" t="n">
        <v>4</v>
      </c>
      <c r="H48" s="5" t="n">
        <v>200</v>
      </c>
      <c r="I48" s="5" t="n">
        <v>800</v>
      </c>
      <c r="J48" s="5" t="n">
        <v>480</v>
      </c>
      <c r="K48" s="5" t="n">
        <v>320</v>
      </c>
      <c r="L48" s="6" t="n">
        <f aca="false">K48/I48</f>
        <v>0.4</v>
      </c>
    </row>
    <row r="49" customFormat="false" ht="15" hidden="false" customHeight="false" outlineLevel="0" collapsed="false">
      <c r="A49" s="7" t="s">
        <v>95</v>
      </c>
      <c r="B49" s="7" t="s">
        <v>51</v>
      </c>
      <c r="C49" s="7" t="s">
        <v>46</v>
      </c>
      <c r="D49" s="8" t="s">
        <v>16</v>
      </c>
      <c r="E49" s="8" t="s">
        <v>39</v>
      </c>
      <c r="F49" s="7" t="s">
        <v>40</v>
      </c>
      <c r="G49" s="9" t="n">
        <v>19</v>
      </c>
      <c r="H49" s="9" t="n">
        <v>15</v>
      </c>
      <c r="I49" s="9" t="n">
        <v>285</v>
      </c>
      <c r="J49" s="9" t="n">
        <v>95</v>
      </c>
      <c r="K49" s="9" t="n">
        <v>190</v>
      </c>
      <c r="L49" s="10" t="n">
        <f aca="false">K49/I49</f>
        <v>0.666666666666667</v>
      </c>
    </row>
    <row r="50" customFormat="false" ht="15" hidden="false" customHeight="false" outlineLevel="0" collapsed="false">
      <c r="A50" s="3" t="s">
        <v>96</v>
      </c>
      <c r="B50" s="3" t="s">
        <v>54</v>
      </c>
      <c r="C50" s="3" t="s">
        <v>21</v>
      </c>
      <c r="D50" s="4" t="s">
        <v>31</v>
      </c>
      <c r="E50" s="4" t="s">
        <v>28</v>
      </c>
      <c r="F50" s="3" t="s">
        <v>24</v>
      </c>
      <c r="G50" s="5" t="n">
        <v>4</v>
      </c>
      <c r="H50" s="5" t="n">
        <v>800</v>
      </c>
      <c r="I50" s="5" t="n">
        <v>3200</v>
      </c>
      <c r="J50" s="5" t="n">
        <v>2000</v>
      </c>
      <c r="K50" s="5" t="n">
        <v>1200</v>
      </c>
      <c r="L50" s="6" t="n">
        <f aca="false">K50/I50</f>
        <v>0.375</v>
      </c>
    </row>
    <row r="51" customFormat="false" ht="15" hidden="false" customHeight="false" outlineLevel="0" collapsed="false">
      <c r="A51" s="7" t="s">
        <v>97</v>
      </c>
      <c r="B51" s="7" t="s">
        <v>56</v>
      </c>
      <c r="C51" s="7" t="s">
        <v>15</v>
      </c>
      <c r="D51" s="8" t="s">
        <v>31</v>
      </c>
      <c r="E51" s="8" t="s">
        <v>23</v>
      </c>
      <c r="F51" s="7" t="s">
        <v>24</v>
      </c>
      <c r="G51" s="9" t="n">
        <v>3</v>
      </c>
      <c r="H51" s="9" t="n">
        <v>400</v>
      </c>
      <c r="I51" s="9" t="n">
        <v>1200</v>
      </c>
      <c r="J51" s="9" t="n">
        <v>750</v>
      </c>
      <c r="K51" s="9" t="n">
        <v>450</v>
      </c>
      <c r="L51" s="10" t="n">
        <f aca="false">K51/I51</f>
        <v>0.375</v>
      </c>
    </row>
    <row r="52" customFormat="false" ht="15" hidden="false" customHeight="false" outlineLevel="0" collapsed="false">
      <c r="A52" s="3" t="s">
        <v>98</v>
      </c>
      <c r="B52" s="3" t="s">
        <v>14</v>
      </c>
      <c r="C52" s="3" t="s">
        <v>46</v>
      </c>
      <c r="D52" s="4" t="s">
        <v>49</v>
      </c>
      <c r="E52" s="4" t="s">
        <v>35</v>
      </c>
      <c r="F52" s="3" t="s">
        <v>18</v>
      </c>
      <c r="G52" s="5" t="n">
        <v>9</v>
      </c>
      <c r="H52" s="5" t="n">
        <v>60</v>
      </c>
      <c r="I52" s="5" t="n">
        <v>540</v>
      </c>
      <c r="J52" s="5" t="n">
        <v>315</v>
      </c>
      <c r="K52" s="5" t="n">
        <v>225</v>
      </c>
      <c r="L52" s="6" t="n">
        <f aca="false">K52/I52</f>
        <v>0.416666666666667</v>
      </c>
    </row>
    <row r="53" customFormat="false" ht="15" hidden="false" customHeight="false" outlineLevel="0" collapsed="false">
      <c r="A53" s="7" t="s">
        <v>99</v>
      </c>
      <c r="B53" s="7" t="s">
        <v>20</v>
      </c>
      <c r="C53" s="7" t="s">
        <v>46</v>
      </c>
      <c r="D53" s="8" t="s">
        <v>38</v>
      </c>
      <c r="E53" s="8" t="s">
        <v>32</v>
      </c>
      <c r="F53" s="7" t="s">
        <v>18</v>
      </c>
      <c r="G53" s="9" t="n">
        <v>19</v>
      </c>
      <c r="H53" s="9" t="n">
        <v>200</v>
      </c>
      <c r="I53" s="9" t="n">
        <v>3800</v>
      </c>
      <c r="J53" s="9" t="n">
        <v>2280</v>
      </c>
      <c r="K53" s="9" t="n">
        <v>1520</v>
      </c>
      <c r="L53" s="10" t="n">
        <f aca="false">K53/I53</f>
        <v>0.4</v>
      </c>
    </row>
    <row r="54" customFormat="false" ht="15" hidden="false" customHeight="false" outlineLevel="0" collapsed="false">
      <c r="A54" s="3" t="s">
        <v>100</v>
      </c>
      <c r="B54" s="3" t="s">
        <v>26</v>
      </c>
      <c r="C54" s="3" t="s">
        <v>21</v>
      </c>
      <c r="D54" s="4" t="s">
        <v>38</v>
      </c>
      <c r="E54" s="4" t="s">
        <v>32</v>
      </c>
      <c r="F54" s="3" t="s">
        <v>18</v>
      </c>
      <c r="G54" s="5" t="n">
        <v>17</v>
      </c>
      <c r="H54" s="5" t="n">
        <v>200</v>
      </c>
      <c r="I54" s="5" t="n">
        <v>3400</v>
      </c>
      <c r="J54" s="5" t="n">
        <v>2040</v>
      </c>
      <c r="K54" s="5" t="n">
        <v>1360</v>
      </c>
      <c r="L54" s="6" t="n">
        <f aca="false">K54/I54</f>
        <v>0.4</v>
      </c>
    </row>
    <row r="55" customFormat="false" ht="15" hidden="false" customHeight="false" outlineLevel="0" collapsed="false">
      <c r="A55" s="7" t="s">
        <v>101</v>
      </c>
      <c r="B55" s="7" t="s">
        <v>30</v>
      </c>
      <c r="C55" s="7" t="s">
        <v>57</v>
      </c>
      <c r="D55" s="8" t="s">
        <v>31</v>
      </c>
      <c r="E55" s="8" t="s">
        <v>23</v>
      </c>
      <c r="F55" s="7" t="s">
        <v>24</v>
      </c>
      <c r="G55" s="9" t="n">
        <v>5</v>
      </c>
      <c r="H55" s="9" t="n">
        <v>400</v>
      </c>
      <c r="I55" s="9" t="n">
        <v>2000</v>
      </c>
      <c r="J55" s="9" t="n">
        <v>1250</v>
      </c>
      <c r="K55" s="9" t="n">
        <v>750</v>
      </c>
      <c r="L55" s="10" t="n">
        <f aca="false">K55/I55</f>
        <v>0.375</v>
      </c>
    </row>
    <row r="56" customFormat="false" ht="15" hidden="false" customHeight="false" outlineLevel="0" collapsed="false">
      <c r="A56" s="3" t="s">
        <v>102</v>
      </c>
      <c r="B56" s="3" t="s">
        <v>34</v>
      </c>
      <c r="C56" s="3" t="s">
        <v>57</v>
      </c>
      <c r="D56" s="4" t="s">
        <v>52</v>
      </c>
      <c r="E56" s="4" t="s">
        <v>43</v>
      </c>
      <c r="F56" s="3" t="s">
        <v>24</v>
      </c>
      <c r="G56" s="5" t="n">
        <v>15</v>
      </c>
      <c r="H56" s="5" t="n">
        <v>80</v>
      </c>
      <c r="I56" s="5" t="n">
        <v>1200</v>
      </c>
      <c r="J56" s="5" t="n">
        <v>675</v>
      </c>
      <c r="K56" s="5" t="n">
        <v>525</v>
      </c>
      <c r="L56" s="6" t="n">
        <f aca="false">K56/I56</f>
        <v>0.4375</v>
      </c>
    </row>
    <row r="57" customFormat="false" ht="15" hidden="false" customHeight="false" outlineLevel="0" collapsed="false">
      <c r="A57" s="7" t="s">
        <v>103</v>
      </c>
      <c r="B57" s="7" t="s">
        <v>37</v>
      </c>
      <c r="C57" s="7" t="s">
        <v>57</v>
      </c>
      <c r="D57" s="8" t="s">
        <v>16</v>
      </c>
      <c r="E57" s="8" t="s">
        <v>23</v>
      </c>
      <c r="F57" s="7" t="s">
        <v>24</v>
      </c>
      <c r="G57" s="9" t="n">
        <v>3</v>
      </c>
      <c r="H57" s="9" t="n">
        <v>400</v>
      </c>
      <c r="I57" s="9" t="n">
        <v>1200</v>
      </c>
      <c r="J57" s="9" t="n">
        <v>750</v>
      </c>
      <c r="K57" s="9" t="n">
        <v>450</v>
      </c>
      <c r="L57" s="10" t="n">
        <f aca="false">K57/I57</f>
        <v>0.375</v>
      </c>
    </row>
    <row r="58" customFormat="false" ht="15" hidden="false" customHeight="false" outlineLevel="0" collapsed="false">
      <c r="A58" s="3" t="s">
        <v>104</v>
      </c>
      <c r="B58" s="3" t="s">
        <v>42</v>
      </c>
      <c r="C58" s="3" t="s">
        <v>57</v>
      </c>
      <c r="D58" s="4" t="s">
        <v>52</v>
      </c>
      <c r="E58" s="4" t="s">
        <v>23</v>
      </c>
      <c r="F58" s="3" t="s">
        <v>24</v>
      </c>
      <c r="G58" s="5" t="n">
        <v>9</v>
      </c>
      <c r="H58" s="5" t="n">
        <v>400</v>
      </c>
      <c r="I58" s="5" t="n">
        <v>3600</v>
      </c>
      <c r="J58" s="5" t="n">
        <v>2250</v>
      </c>
      <c r="K58" s="5" t="n">
        <v>1350</v>
      </c>
      <c r="L58" s="6" t="n">
        <f aca="false">K58/I58</f>
        <v>0.375</v>
      </c>
    </row>
    <row r="59" customFormat="false" ht="15" hidden="false" customHeight="false" outlineLevel="0" collapsed="false">
      <c r="A59" s="7" t="s">
        <v>105</v>
      </c>
      <c r="B59" s="7" t="s">
        <v>45</v>
      </c>
      <c r="C59" s="7" t="s">
        <v>21</v>
      </c>
      <c r="D59" s="8" t="s">
        <v>31</v>
      </c>
      <c r="E59" s="8" t="s">
        <v>35</v>
      </c>
      <c r="F59" s="7" t="s">
        <v>18</v>
      </c>
      <c r="G59" s="9" t="n">
        <v>16</v>
      </c>
      <c r="H59" s="9" t="n">
        <v>60</v>
      </c>
      <c r="I59" s="9" t="n">
        <v>960</v>
      </c>
      <c r="J59" s="9" t="n">
        <v>560</v>
      </c>
      <c r="K59" s="9" t="n">
        <v>400</v>
      </c>
      <c r="L59" s="10" t="n">
        <f aca="false">K59/I59</f>
        <v>0.416666666666667</v>
      </c>
    </row>
    <row r="60" customFormat="false" ht="15" hidden="false" customHeight="false" outlineLevel="0" collapsed="false">
      <c r="A60" s="3" t="s">
        <v>106</v>
      </c>
      <c r="B60" s="3" t="s">
        <v>48</v>
      </c>
      <c r="C60" s="3" t="s">
        <v>21</v>
      </c>
      <c r="D60" s="4" t="s">
        <v>27</v>
      </c>
      <c r="E60" s="4" t="s">
        <v>66</v>
      </c>
      <c r="F60" s="3" t="s">
        <v>24</v>
      </c>
      <c r="G60" s="5" t="n">
        <v>10</v>
      </c>
      <c r="H60" s="5" t="n">
        <v>300</v>
      </c>
      <c r="I60" s="5" t="n">
        <v>3000</v>
      </c>
      <c r="J60" s="5" t="n">
        <v>1800</v>
      </c>
      <c r="K60" s="5" t="n">
        <v>1200</v>
      </c>
      <c r="L60" s="6" t="n">
        <f aca="false">K60/I60</f>
        <v>0.4</v>
      </c>
    </row>
    <row r="61" customFormat="false" ht="15" hidden="false" customHeight="false" outlineLevel="0" collapsed="false">
      <c r="A61" s="7" t="s">
        <v>107</v>
      </c>
      <c r="B61" s="7" t="s">
        <v>51</v>
      </c>
      <c r="C61" s="7" t="s">
        <v>57</v>
      </c>
      <c r="D61" s="8" t="s">
        <v>31</v>
      </c>
      <c r="E61" s="8" t="s">
        <v>23</v>
      </c>
      <c r="F61" s="7" t="s">
        <v>24</v>
      </c>
      <c r="G61" s="9" t="n">
        <v>16</v>
      </c>
      <c r="H61" s="9" t="n">
        <v>400</v>
      </c>
      <c r="I61" s="9" t="n">
        <v>6400</v>
      </c>
      <c r="J61" s="9" t="n">
        <v>4000</v>
      </c>
      <c r="K61" s="9" t="n">
        <v>2400</v>
      </c>
      <c r="L61" s="10" t="n">
        <f aca="false">K61/I61</f>
        <v>0.375</v>
      </c>
    </row>
    <row r="62" customFormat="false" ht="15" hidden="false" customHeight="false" outlineLevel="0" collapsed="false">
      <c r="A62" s="3" t="s">
        <v>108</v>
      </c>
      <c r="B62" s="3" t="s">
        <v>54</v>
      </c>
      <c r="C62" s="3" t="s">
        <v>15</v>
      </c>
      <c r="D62" s="4" t="s">
        <v>16</v>
      </c>
      <c r="E62" s="4" t="s">
        <v>35</v>
      </c>
      <c r="F62" s="3" t="s">
        <v>18</v>
      </c>
      <c r="G62" s="5" t="n">
        <v>2</v>
      </c>
      <c r="H62" s="5" t="n">
        <v>60</v>
      </c>
      <c r="I62" s="5" t="n">
        <v>120</v>
      </c>
      <c r="J62" s="5" t="n">
        <v>70</v>
      </c>
      <c r="K62" s="5" t="n">
        <v>50</v>
      </c>
      <c r="L62" s="6" t="n">
        <f aca="false">K62/I62</f>
        <v>0.416666666666667</v>
      </c>
    </row>
    <row r="63" customFormat="false" ht="15" hidden="false" customHeight="false" outlineLevel="0" collapsed="false">
      <c r="A63" s="7" t="s">
        <v>109</v>
      </c>
      <c r="B63" s="7" t="s">
        <v>56</v>
      </c>
      <c r="C63" s="7" t="s">
        <v>15</v>
      </c>
      <c r="D63" s="8" t="s">
        <v>31</v>
      </c>
      <c r="E63" s="8" t="s">
        <v>66</v>
      </c>
      <c r="F63" s="7" t="s">
        <v>24</v>
      </c>
      <c r="G63" s="9" t="n">
        <v>15</v>
      </c>
      <c r="H63" s="9" t="n">
        <v>300</v>
      </c>
      <c r="I63" s="9" t="n">
        <v>4500</v>
      </c>
      <c r="J63" s="9" t="n">
        <v>2700</v>
      </c>
      <c r="K63" s="9" t="n">
        <v>1800</v>
      </c>
      <c r="L63" s="10" t="n">
        <f aca="false">K63/I63</f>
        <v>0.4</v>
      </c>
    </row>
    <row r="64" customFormat="false" ht="15" hidden="false" customHeight="false" outlineLevel="0" collapsed="false">
      <c r="A64" s="3" t="s">
        <v>110</v>
      </c>
      <c r="B64" s="3" t="s">
        <v>14</v>
      </c>
      <c r="C64" s="3" t="s">
        <v>57</v>
      </c>
      <c r="D64" s="4" t="s">
        <v>38</v>
      </c>
      <c r="E64" s="4" t="s">
        <v>32</v>
      </c>
      <c r="F64" s="3" t="s">
        <v>18</v>
      </c>
      <c r="G64" s="5" t="n">
        <v>14</v>
      </c>
      <c r="H64" s="5" t="n">
        <v>200</v>
      </c>
      <c r="I64" s="5" t="n">
        <v>2800</v>
      </c>
      <c r="J64" s="5" t="n">
        <v>1680</v>
      </c>
      <c r="K64" s="5" t="n">
        <v>1120</v>
      </c>
      <c r="L64" s="6" t="n">
        <f aca="false">K64/I64</f>
        <v>0.4</v>
      </c>
    </row>
    <row r="65" customFormat="false" ht="15" hidden="false" customHeight="false" outlineLevel="0" collapsed="false">
      <c r="A65" s="7" t="s">
        <v>111</v>
      </c>
      <c r="B65" s="7" t="s">
        <v>20</v>
      </c>
      <c r="C65" s="7" t="s">
        <v>15</v>
      </c>
      <c r="D65" s="8" t="s">
        <v>22</v>
      </c>
      <c r="E65" s="8" t="s">
        <v>43</v>
      </c>
      <c r="F65" s="7" t="s">
        <v>24</v>
      </c>
      <c r="G65" s="9" t="n">
        <v>2</v>
      </c>
      <c r="H65" s="9" t="n">
        <v>80</v>
      </c>
      <c r="I65" s="9" t="n">
        <v>160</v>
      </c>
      <c r="J65" s="9" t="n">
        <v>90</v>
      </c>
      <c r="K65" s="9" t="n">
        <v>70</v>
      </c>
      <c r="L65" s="10" t="n">
        <f aca="false">K65/I65</f>
        <v>0.4375</v>
      </c>
    </row>
    <row r="66" customFormat="false" ht="15" hidden="false" customHeight="false" outlineLevel="0" collapsed="false">
      <c r="A66" s="3" t="s">
        <v>112</v>
      </c>
      <c r="B66" s="3" t="s">
        <v>26</v>
      </c>
      <c r="C66" s="3" t="s">
        <v>57</v>
      </c>
      <c r="D66" s="4" t="s">
        <v>60</v>
      </c>
      <c r="E66" s="4" t="s">
        <v>72</v>
      </c>
      <c r="F66" s="3" t="s">
        <v>24</v>
      </c>
      <c r="G66" s="5" t="n">
        <v>11</v>
      </c>
      <c r="H66" s="5" t="n">
        <v>50</v>
      </c>
      <c r="I66" s="5" t="n">
        <v>550</v>
      </c>
      <c r="J66" s="5" t="n">
        <v>308</v>
      </c>
      <c r="K66" s="5" t="n">
        <v>242</v>
      </c>
      <c r="L66" s="6" t="n">
        <f aca="false">K66/I66</f>
        <v>0.44</v>
      </c>
    </row>
    <row r="67" customFormat="false" ht="15" hidden="false" customHeight="false" outlineLevel="0" collapsed="false">
      <c r="A67" s="7" t="s">
        <v>113</v>
      </c>
      <c r="B67" s="7" t="s">
        <v>30</v>
      </c>
      <c r="C67" s="7" t="s">
        <v>57</v>
      </c>
      <c r="D67" s="8" t="s">
        <v>38</v>
      </c>
      <c r="E67" s="8" t="s">
        <v>66</v>
      </c>
      <c r="F67" s="7" t="s">
        <v>24</v>
      </c>
      <c r="G67" s="9" t="n">
        <v>8</v>
      </c>
      <c r="H67" s="9" t="n">
        <v>300</v>
      </c>
      <c r="I67" s="9" t="n">
        <v>2400</v>
      </c>
      <c r="J67" s="9" t="n">
        <v>1440</v>
      </c>
      <c r="K67" s="9" t="n">
        <v>960</v>
      </c>
      <c r="L67" s="10" t="n">
        <f aca="false">K67/I67</f>
        <v>0.4</v>
      </c>
    </row>
    <row r="68" customFormat="false" ht="15" hidden="false" customHeight="false" outlineLevel="0" collapsed="false">
      <c r="A68" s="3" t="s">
        <v>114</v>
      </c>
      <c r="B68" s="3" t="s">
        <v>34</v>
      </c>
      <c r="C68" s="3" t="s">
        <v>46</v>
      </c>
      <c r="D68" s="4" t="s">
        <v>31</v>
      </c>
      <c r="E68" s="4" t="s">
        <v>28</v>
      </c>
      <c r="F68" s="3" t="s">
        <v>24</v>
      </c>
      <c r="G68" s="5" t="n">
        <v>20</v>
      </c>
      <c r="H68" s="5" t="n">
        <v>800</v>
      </c>
      <c r="I68" s="5" t="n">
        <v>16000</v>
      </c>
      <c r="J68" s="5" t="n">
        <v>10000</v>
      </c>
      <c r="K68" s="5" t="n">
        <v>6000</v>
      </c>
      <c r="L68" s="6" t="n">
        <f aca="false">K68/I68</f>
        <v>0.375</v>
      </c>
    </row>
    <row r="69" customFormat="false" ht="15" hidden="false" customHeight="false" outlineLevel="0" collapsed="false">
      <c r="A69" s="7" t="s">
        <v>115</v>
      </c>
      <c r="B69" s="7" t="s">
        <v>37</v>
      </c>
      <c r="C69" s="7" t="s">
        <v>15</v>
      </c>
      <c r="D69" s="8" t="s">
        <v>52</v>
      </c>
      <c r="E69" s="8" t="s">
        <v>28</v>
      </c>
      <c r="F69" s="7" t="s">
        <v>24</v>
      </c>
      <c r="G69" s="9" t="n">
        <v>3</v>
      </c>
      <c r="H69" s="9" t="n">
        <v>800</v>
      </c>
      <c r="I69" s="9" t="n">
        <v>2400</v>
      </c>
      <c r="J69" s="9" t="n">
        <v>1500</v>
      </c>
      <c r="K69" s="9" t="n">
        <v>900</v>
      </c>
      <c r="L69" s="10" t="n">
        <f aca="false">K69/I69</f>
        <v>0.375</v>
      </c>
    </row>
    <row r="70" customFormat="false" ht="15" hidden="false" customHeight="false" outlineLevel="0" collapsed="false">
      <c r="A70" s="3" t="s">
        <v>116</v>
      </c>
      <c r="B70" s="3" t="s">
        <v>42</v>
      </c>
      <c r="C70" s="3" t="s">
        <v>57</v>
      </c>
      <c r="D70" s="4" t="s">
        <v>22</v>
      </c>
      <c r="E70" s="4" t="s">
        <v>28</v>
      </c>
      <c r="F70" s="3" t="s">
        <v>24</v>
      </c>
      <c r="G70" s="5" t="n">
        <v>18</v>
      </c>
      <c r="H70" s="5" t="n">
        <v>800</v>
      </c>
      <c r="I70" s="5" t="n">
        <v>14400</v>
      </c>
      <c r="J70" s="5" t="n">
        <v>9000</v>
      </c>
      <c r="K70" s="5" t="n">
        <v>5400</v>
      </c>
      <c r="L70" s="6" t="n">
        <f aca="false">K70/I70</f>
        <v>0.375</v>
      </c>
    </row>
    <row r="71" customFormat="false" ht="15" hidden="false" customHeight="false" outlineLevel="0" collapsed="false">
      <c r="A71" s="7" t="s">
        <v>117</v>
      </c>
      <c r="B71" s="7" t="s">
        <v>45</v>
      </c>
      <c r="C71" s="7" t="s">
        <v>15</v>
      </c>
      <c r="D71" s="8" t="s">
        <v>22</v>
      </c>
      <c r="E71" s="8" t="s">
        <v>23</v>
      </c>
      <c r="F71" s="7" t="s">
        <v>24</v>
      </c>
      <c r="G71" s="9" t="n">
        <v>21</v>
      </c>
      <c r="H71" s="9" t="n">
        <v>400</v>
      </c>
      <c r="I71" s="9" t="n">
        <v>8400</v>
      </c>
      <c r="J71" s="9" t="n">
        <v>5250</v>
      </c>
      <c r="K71" s="9" t="n">
        <v>3150</v>
      </c>
      <c r="L71" s="10" t="n">
        <f aca="false">K71/I71</f>
        <v>0.375</v>
      </c>
    </row>
    <row r="72" customFormat="false" ht="15" hidden="false" customHeight="false" outlineLevel="0" collapsed="false">
      <c r="A72" s="3" t="s">
        <v>118</v>
      </c>
      <c r="B72" s="3" t="s">
        <v>48</v>
      </c>
      <c r="C72" s="3" t="s">
        <v>15</v>
      </c>
      <c r="D72" s="4" t="s">
        <v>31</v>
      </c>
      <c r="E72" s="4" t="s">
        <v>43</v>
      </c>
      <c r="F72" s="3" t="s">
        <v>24</v>
      </c>
      <c r="G72" s="5" t="n">
        <v>5</v>
      </c>
      <c r="H72" s="5" t="n">
        <v>80</v>
      </c>
      <c r="I72" s="5" t="n">
        <v>400</v>
      </c>
      <c r="J72" s="5" t="n">
        <v>225</v>
      </c>
      <c r="K72" s="5" t="n">
        <v>175</v>
      </c>
      <c r="L72" s="6" t="n">
        <f aca="false">K72/I72</f>
        <v>0.4375</v>
      </c>
    </row>
    <row r="73" customFormat="false" ht="15" hidden="false" customHeight="false" outlineLevel="0" collapsed="false">
      <c r="A73" s="7" t="s">
        <v>119</v>
      </c>
      <c r="B73" s="7" t="s">
        <v>51</v>
      </c>
      <c r="C73" s="7" t="s">
        <v>21</v>
      </c>
      <c r="D73" s="8" t="s">
        <v>16</v>
      </c>
      <c r="E73" s="8" t="s">
        <v>39</v>
      </c>
      <c r="F73" s="7" t="s">
        <v>40</v>
      </c>
      <c r="G73" s="9" t="n">
        <v>4</v>
      </c>
      <c r="H73" s="9" t="n">
        <v>15</v>
      </c>
      <c r="I73" s="9" t="n">
        <v>60</v>
      </c>
      <c r="J73" s="9" t="n">
        <v>20</v>
      </c>
      <c r="K73" s="9" t="n">
        <v>40</v>
      </c>
      <c r="L73" s="10" t="n">
        <f aca="false">K73/I73</f>
        <v>0.666666666666667</v>
      </c>
    </row>
    <row r="74" customFormat="false" ht="15" hidden="false" customHeight="false" outlineLevel="0" collapsed="false">
      <c r="A74" s="3" t="s">
        <v>120</v>
      </c>
      <c r="B74" s="3" t="s">
        <v>54</v>
      </c>
      <c r="C74" s="3" t="s">
        <v>57</v>
      </c>
      <c r="D74" s="4" t="s">
        <v>52</v>
      </c>
      <c r="E74" s="4" t="s">
        <v>17</v>
      </c>
      <c r="F74" s="3" t="s">
        <v>18</v>
      </c>
      <c r="G74" s="5" t="n">
        <v>8</v>
      </c>
      <c r="H74" s="5" t="n">
        <v>150</v>
      </c>
      <c r="I74" s="5" t="n">
        <v>1200</v>
      </c>
      <c r="J74" s="5" t="n">
        <v>720</v>
      </c>
      <c r="K74" s="5" t="n">
        <v>480</v>
      </c>
      <c r="L74" s="6" t="n">
        <f aca="false">K74/I74</f>
        <v>0.4</v>
      </c>
    </row>
    <row r="75" customFormat="false" ht="15" hidden="false" customHeight="false" outlineLevel="0" collapsed="false">
      <c r="A75" s="7" t="s">
        <v>121</v>
      </c>
      <c r="B75" s="7" t="s">
        <v>56</v>
      </c>
      <c r="C75" s="7" t="s">
        <v>46</v>
      </c>
      <c r="D75" s="8" t="s">
        <v>31</v>
      </c>
      <c r="E75" s="8" t="s">
        <v>17</v>
      </c>
      <c r="F75" s="7" t="s">
        <v>18</v>
      </c>
      <c r="G75" s="9" t="n">
        <v>14</v>
      </c>
      <c r="H75" s="9" t="n">
        <v>150</v>
      </c>
      <c r="I75" s="9" t="n">
        <v>2100</v>
      </c>
      <c r="J75" s="9" t="n">
        <v>1260</v>
      </c>
      <c r="K75" s="9" t="n">
        <v>840</v>
      </c>
      <c r="L75" s="10" t="n">
        <f aca="false">K75/I75</f>
        <v>0.4</v>
      </c>
    </row>
    <row r="76" customFormat="false" ht="15" hidden="false" customHeight="false" outlineLevel="0" collapsed="false">
      <c r="A76" s="3" t="s">
        <v>122</v>
      </c>
      <c r="B76" s="3" t="s">
        <v>14</v>
      </c>
      <c r="C76" s="3" t="s">
        <v>21</v>
      </c>
      <c r="D76" s="4" t="s">
        <v>60</v>
      </c>
      <c r="E76" s="4" t="s">
        <v>72</v>
      </c>
      <c r="F76" s="3" t="s">
        <v>24</v>
      </c>
      <c r="G76" s="5" t="n">
        <v>12</v>
      </c>
      <c r="H76" s="5" t="n">
        <v>50</v>
      </c>
      <c r="I76" s="5" t="n">
        <v>600</v>
      </c>
      <c r="J76" s="5" t="n">
        <v>336</v>
      </c>
      <c r="K76" s="5" t="n">
        <v>264</v>
      </c>
      <c r="L76" s="6" t="n">
        <f aca="false">K76/I76</f>
        <v>0.44</v>
      </c>
    </row>
    <row r="77" customFormat="false" ht="15" hidden="false" customHeight="false" outlineLevel="0" collapsed="false">
      <c r="A77" s="7" t="s">
        <v>123</v>
      </c>
      <c r="B77" s="7" t="s">
        <v>20</v>
      </c>
      <c r="C77" s="7" t="s">
        <v>15</v>
      </c>
      <c r="D77" s="8" t="s">
        <v>16</v>
      </c>
      <c r="E77" s="8" t="s">
        <v>72</v>
      </c>
      <c r="F77" s="7" t="s">
        <v>24</v>
      </c>
      <c r="G77" s="9" t="n">
        <v>21</v>
      </c>
      <c r="H77" s="9" t="n">
        <v>50</v>
      </c>
      <c r="I77" s="9" t="n">
        <v>1050</v>
      </c>
      <c r="J77" s="9" t="n">
        <v>588</v>
      </c>
      <c r="K77" s="9" t="n">
        <v>462</v>
      </c>
      <c r="L77" s="10" t="n">
        <f aca="false">K77/I77</f>
        <v>0.44</v>
      </c>
    </row>
    <row r="78" customFormat="false" ht="15" hidden="false" customHeight="false" outlineLevel="0" collapsed="false">
      <c r="A78" s="3" t="s">
        <v>124</v>
      </c>
      <c r="B78" s="3" t="s">
        <v>26</v>
      </c>
      <c r="C78" s="3" t="s">
        <v>15</v>
      </c>
      <c r="D78" s="4" t="s">
        <v>49</v>
      </c>
      <c r="E78" s="4" t="s">
        <v>35</v>
      </c>
      <c r="F78" s="3" t="s">
        <v>18</v>
      </c>
      <c r="G78" s="5" t="n">
        <v>8</v>
      </c>
      <c r="H78" s="5" t="n">
        <v>60</v>
      </c>
      <c r="I78" s="5" t="n">
        <v>480</v>
      </c>
      <c r="J78" s="5" t="n">
        <v>280</v>
      </c>
      <c r="K78" s="5" t="n">
        <v>200</v>
      </c>
      <c r="L78" s="6" t="n">
        <f aca="false">K78/I78</f>
        <v>0.416666666666667</v>
      </c>
    </row>
    <row r="79" customFormat="false" ht="15" hidden="false" customHeight="false" outlineLevel="0" collapsed="false">
      <c r="A79" s="7" t="s">
        <v>125</v>
      </c>
      <c r="B79" s="7" t="s">
        <v>30</v>
      </c>
      <c r="C79" s="7" t="s">
        <v>46</v>
      </c>
      <c r="D79" s="8" t="s">
        <v>22</v>
      </c>
      <c r="E79" s="8" t="s">
        <v>63</v>
      </c>
      <c r="F79" s="7" t="s">
        <v>24</v>
      </c>
      <c r="G79" s="9" t="n">
        <v>4</v>
      </c>
      <c r="H79" s="9" t="n">
        <v>250</v>
      </c>
      <c r="I79" s="9" t="n">
        <v>1000</v>
      </c>
      <c r="J79" s="9" t="n">
        <v>600</v>
      </c>
      <c r="K79" s="9" t="n">
        <v>400</v>
      </c>
      <c r="L79" s="10" t="n">
        <f aca="false">K79/I79</f>
        <v>0.4</v>
      </c>
    </row>
    <row r="80" customFormat="false" ht="15" hidden="false" customHeight="false" outlineLevel="0" collapsed="false">
      <c r="A80" s="3" t="s">
        <v>126</v>
      </c>
      <c r="B80" s="3" t="s">
        <v>34</v>
      </c>
      <c r="C80" s="3" t="s">
        <v>21</v>
      </c>
      <c r="D80" s="4" t="s">
        <v>52</v>
      </c>
      <c r="E80" s="4" t="s">
        <v>17</v>
      </c>
      <c r="F80" s="3" t="s">
        <v>18</v>
      </c>
      <c r="G80" s="5" t="n">
        <v>7</v>
      </c>
      <c r="H80" s="5" t="n">
        <v>150</v>
      </c>
      <c r="I80" s="5" t="n">
        <v>1050</v>
      </c>
      <c r="J80" s="5" t="n">
        <v>630</v>
      </c>
      <c r="K80" s="5" t="n">
        <v>420</v>
      </c>
      <c r="L80" s="6" t="n">
        <f aca="false">K80/I80</f>
        <v>0.4</v>
      </c>
    </row>
    <row r="81" customFormat="false" ht="15" hidden="false" customHeight="false" outlineLevel="0" collapsed="false">
      <c r="A81" s="7" t="s">
        <v>127</v>
      </c>
      <c r="B81" s="7" t="s">
        <v>37</v>
      </c>
      <c r="C81" s="7" t="s">
        <v>57</v>
      </c>
      <c r="D81" s="8" t="s">
        <v>60</v>
      </c>
      <c r="E81" s="8" t="s">
        <v>39</v>
      </c>
      <c r="F81" s="7" t="s">
        <v>40</v>
      </c>
      <c r="G81" s="9" t="n">
        <v>22</v>
      </c>
      <c r="H81" s="9" t="n">
        <v>15</v>
      </c>
      <c r="I81" s="9" t="n">
        <v>330</v>
      </c>
      <c r="J81" s="9" t="n">
        <v>110</v>
      </c>
      <c r="K81" s="9" t="n">
        <v>220</v>
      </c>
      <c r="L81" s="10" t="n">
        <f aca="false">K81/I81</f>
        <v>0.666666666666667</v>
      </c>
    </row>
    <row r="82" customFormat="false" ht="15" hidden="false" customHeight="false" outlineLevel="0" collapsed="false">
      <c r="A82" s="3" t="s">
        <v>128</v>
      </c>
      <c r="B82" s="3" t="s">
        <v>42</v>
      </c>
      <c r="C82" s="3" t="s">
        <v>15</v>
      </c>
      <c r="D82" s="4" t="s">
        <v>60</v>
      </c>
      <c r="E82" s="4" t="s">
        <v>23</v>
      </c>
      <c r="F82" s="3" t="s">
        <v>24</v>
      </c>
      <c r="G82" s="5" t="n">
        <v>6</v>
      </c>
      <c r="H82" s="5" t="n">
        <v>400</v>
      </c>
      <c r="I82" s="5" t="n">
        <v>2400</v>
      </c>
      <c r="J82" s="5" t="n">
        <v>1500</v>
      </c>
      <c r="K82" s="5" t="n">
        <v>900</v>
      </c>
      <c r="L82" s="6" t="n">
        <f aca="false">K82/I82</f>
        <v>0.375</v>
      </c>
    </row>
    <row r="83" customFormat="false" ht="15" hidden="false" customHeight="false" outlineLevel="0" collapsed="false">
      <c r="A83" s="7" t="s">
        <v>129</v>
      </c>
      <c r="B83" s="7" t="s">
        <v>45</v>
      </c>
      <c r="C83" s="7" t="s">
        <v>46</v>
      </c>
      <c r="D83" s="8" t="s">
        <v>49</v>
      </c>
      <c r="E83" s="8" t="s">
        <v>23</v>
      </c>
      <c r="F83" s="7" t="s">
        <v>24</v>
      </c>
      <c r="G83" s="9" t="n">
        <v>25</v>
      </c>
      <c r="H83" s="9" t="n">
        <v>400</v>
      </c>
      <c r="I83" s="9" t="n">
        <v>10000</v>
      </c>
      <c r="J83" s="9" t="n">
        <v>6250</v>
      </c>
      <c r="K83" s="9" t="n">
        <v>3750</v>
      </c>
      <c r="L83" s="10" t="n">
        <f aca="false">K83/I83</f>
        <v>0.375</v>
      </c>
    </row>
    <row r="84" customFormat="false" ht="15" hidden="false" customHeight="false" outlineLevel="0" collapsed="false">
      <c r="A84" s="3" t="s">
        <v>130</v>
      </c>
      <c r="B84" s="3" t="s">
        <v>48</v>
      </c>
      <c r="C84" s="3" t="s">
        <v>21</v>
      </c>
      <c r="D84" s="4" t="s">
        <v>60</v>
      </c>
      <c r="E84" s="4" t="s">
        <v>17</v>
      </c>
      <c r="F84" s="3" t="s">
        <v>18</v>
      </c>
      <c r="G84" s="5" t="n">
        <v>21</v>
      </c>
      <c r="H84" s="5" t="n">
        <v>150</v>
      </c>
      <c r="I84" s="5" t="n">
        <v>3150</v>
      </c>
      <c r="J84" s="5" t="n">
        <v>1890</v>
      </c>
      <c r="K84" s="5" t="n">
        <v>1260</v>
      </c>
      <c r="L84" s="6" t="n">
        <f aca="false">K84/I84</f>
        <v>0.4</v>
      </c>
    </row>
    <row r="85" customFormat="false" ht="15" hidden="false" customHeight="false" outlineLevel="0" collapsed="false">
      <c r="A85" s="7" t="s">
        <v>131</v>
      </c>
      <c r="B85" s="7" t="s">
        <v>51</v>
      </c>
      <c r="C85" s="7" t="s">
        <v>21</v>
      </c>
      <c r="D85" s="8" t="s">
        <v>52</v>
      </c>
      <c r="E85" s="8" t="s">
        <v>32</v>
      </c>
      <c r="F85" s="7" t="s">
        <v>18</v>
      </c>
      <c r="G85" s="9" t="n">
        <v>23</v>
      </c>
      <c r="H85" s="9" t="n">
        <v>200</v>
      </c>
      <c r="I85" s="9" t="n">
        <v>4600</v>
      </c>
      <c r="J85" s="9" t="n">
        <v>2760</v>
      </c>
      <c r="K85" s="9" t="n">
        <v>1840</v>
      </c>
      <c r="L85" s="10" t="n">
        <f aca="false">K85/I85</f>
        <v>0.4</v>
      </c>
    </row>
    <row r="86" customFormat="false" ht="15" hidden="false" customHeight="false" outlineLevel="0" collapsed="false">
      <c r="A86" s="3" t="s">
        <v>132</v>
      </c>
      <c r="B86" s="3" t="s">
        <v>54</v>
      </c>
      <c r="C86" s="3" t="s">
        <v>46</v>
      </c>
      <c r="D86" s="4" t="s">
        <v>38</v>
      </c>
      <c r="E86" s="4" t="s">
        <v>17</v>
      </c>
      <c r="F86" s="3" t="s">
        <v>18</v>
      </c>
      <c r="G86" s="5" t="n">
        <v>3</v>
      </c>
      <c r="H86" s="5" t="n">
        <v>150</v>
      </c>
      <c r="I86" s="5" t="n">
        <v>450</v>
      </c>
      <c r="J86" s="5" t="n">
        <v>270</v>
      </c>
      <c r="K86" s="5" t="n">
        <v>180</v>
      </c>
      <c r="L86" s="6" t="n">
        <f aca="false">K86/I86</f>
        <v>0.4</v>
      </c>
    </row>
    <row r="87" customFormat="false" ht="15" hidden="false" customHeight="false" outlineLevel="0" collapsed="false">
      <c r="A87" s="7" t="s">
        <v>133</v>
      </c>
      <c r="B87" s="7" t="s">
        <v>56</v>
      </c>
      <c r="C87" s="7" t="s">
        <v>15</v>
      </c>
      <c r="D87" s="8" t="s">
        <v>27</v>
      </c>
      <c r="E87" s="8" t="s">
        <v>17</v>
      </c>
      <c r="F87" s="7" t="s">
        <v>18</v>
      </c>
      <c r="G87" s="9" t="n">
        <v>3</v>
      </c>
      <c r="H87" s="9" t="n">
        <v>150</v>
      </c>
      <c r="I87" s="9" t="n">
        <v>450</v>
      </c>
      <c r="J87" s="9" t="n">
        <v>270</v>
      </c>
      <c r="K87" s="9" t="n">
        <v>180</v>
      </c>
      <c r="L87" s="10" t="n">
        <f aca="false">K87/I87</f>
        <v>0.4</v>
      </c>
    </row>
    <row r="88" customFormat="false" ht="15" hidden="false" customHeight="false" outlineLevel="0" collapsed="false">
      <c r="A88" s="3" t="s">
        <v>134</v>
      </c>
      <c r="B88" s="3" t="s">
        <v>14</v>
      </c>
      <c r="C88" s="3" t="s">
        <v>15</v>
      </c>
      <c r="D88" s="4" t="s">
        <v>52</v>
      </c>
      <c r="E88" s="4" t="s">
        <v>66</v>
      </c>
      <c r="F88" s="3" t="s">
        <v>24</v>
      </c>
      <c r="G88" s="5" t="n">
        <v>22</v>
      </c>
      <c r="H88" s="5" t="n">
        <v>300</v>
      </c>
      <c r="I88" s="5" t="n">
        <v>6600</v>
      </c>
      <c r="J88" s="5" t="n">
        <v>3960</v>
      </c>
      <c r="K88" s="5" t="n">
        <v>2640</v>
      </c>
      <c r="L88" s="6" t="n">
        <f aca="false">K88/I88</f>
        <v>0.4</v>
      </c>
    </row>
    <row r="89" customFormat="false" ht="15" hidden="false" customHeight="false" outlineLevel="0" collapsed="false">
      <c r="A89" s="7" t="s">
        <v>135</v>
      </c>
      <c r="B89" s="7" t="s">
        <v>20</v>
      </c>
      <c r="C89" s="7" t="s">
        <v>46</v>
      </c>
      <c r="D89" s="8" t="s">
        <v>22</v>
      </c>
      <c r="E89" s="8" t="s">
        <v>72</v>
      </c>
      <c r="F89" s="7" t="s">
        <v>24</v>
      </c>
      <c r="G89" s="9" t="n">
        <v>19</v>
      </c>
      <c r="H89" s="9" t="n">
        <v>50</v>
      </c>
      <c r="I89" s="9" t="n">
        <v>950</v>
      </c>
      <c r="J89" s="9" t="n">
        <v>532</v>
      </c>
      <c r="K89" s="9" t="n">
        <v>418</v>
      </c>
      <c r="L89" s="10" t="n">
        <f aca="false">K89/I89</f>
        <v>0.44</v>
      </c>
    </row>
    <row r="90" customFormat="false" ht="15" hidden="false" customHeight="false" outlineLevel="0" collapsed="false">
      <c r="A90" s="3" t="s">
        <v>136</v>
      </c>
      <c r="B90" s="3" t="s">
        <v>26</v>
      </c>
      <c r="C90" s="3" t="s">
        <v>57</v>
      </c>
      <c r="D90" s="4" t="s">
        <v>16</v>
      </c>
      <c r="E90" s="4" t="s">
        <v>23</v>
      </c>
      <c r="F90" s="3" t="s">
        <v>24</v>
      </c>
      <c r="G90" s="5" t="n">
        <v>4</v>
      </c>
      <c r="H90" s="5" t="n">
        <v>400</v>
      </c>
      <c r="I90" s="5" t="n">
        <v>1600</v>
      </c>
      <c r="J90" s="5" t="n">
        <v>1000</v>
      </c>
      <c r="K90" s="5" t="n">
        <v>600</v>
      </c>
      <c r="L90" s="6" t="n">
        <f aca="false">K90/I90</f>
        <v>0.375</v>
      </c>
    </row>
    <row r="91" customFormat="false" ht="15" hidden="false" customHeight="false" outlineLevel="0" collapsed="false">
      <c r="A91" s="7" t="s">
        <v>137</v>
      </c>
      <c r="B91" s="7" t="s">
        <v>30</v>
      </c>
      <c r="C91" s="7" t="s">
        <v>21</v>
      </c>
      <c r="D91" s="8" t="s">
        <v>16</v>
      </c>
      <c r="E91" s="8" t="s">
        <v>63</v>
      </c>
      <c r="F91" s="7" t="s">
        <v>24</v>
      </c>
      <c r="G91" s="9" t="n">
        <v>20</v>
      </c>
      <c r="H91" s="9" t="n">
        <v>250</v>
      </c>
      <c r="I91" s="9" t="n">
        <v>5000</v>
      </c>
      <c r="J91" s="9" t="n">
        <v>3000</v>
      </c>
      <c r="K91" s="9" t="n">
        <v>2000</v>
      </c>
      <c r="L91" s="10" t="n">
        <f aca="false">K91/I91</f>
        <v>0.4</v>
      </c>
    </row>
    <row r="92" customFormat="false" ht="15" hidden="false" customHeight="false" outlineLevel="0" collapsed="false">
      <c r="A92" s="3" t="s">
        <v>138</v>
      </c>
      <c r="B92" s="3" t="s">
        <v>34</v>
      </c>
      <c r="C92" s="3" t="s">
        <v>21</v>
      </c>
      <c r="D92" s="4" t="s">
        <v>27</v>
      </c>
      <c r="E92" s="4" t="s">
        <v>66</v>
      </c>
      <c r="F92" s="3" t="s">
        <v>24</v>
      </c>
      <c r="G92" s="5" t="n">
        <v>3</v>
      </c>
      <c r="H92" s="5" t="n">
        <v>300</v>
      </c>
      <c r="I92" s="5" t="n">
        <v>900</v>
      </c>
      <c r="J92" s="5" t="n">
        <v>540</v>
      </c>
      <c r="K92" s="5" t="n">
        <v>360</v>
      </c>
      <c r="L92" s="6" t="n">
        <f aca="false">K92/I92</f>
        <v>0.4</v>
      </c>
    </row>
    <row r="93" customFormat="false" ht="15" hidden="false" customHeight="false" outlineLevel="0" collapsed="false">
      <c r="A93" s="7" t="s">
        <v>139</v>
      </c>
      <c r="B93" s="7" t="s">
        <v>37</v>
      </c>
      <c r="C93" s="7" t="s">
        <v>46</v>
      </c>
      <c r="D93" s="8" t="s">
        <v>52</v>
      </c>
      <c r="E93" s="8" t="s">
        <v>28</v>
      </c>
      <c r="F93" s="7" t="s">
        <v>24</v>
      </c>
      <c r="G93" s="9" t="n">
        <v>13</v>
      </c>
      <c r="H93" s="9" t="n">
        <v>800</v>
      </c>
      <c r="I93" s="9" t="n">
        <v>10400</v>
      </c>
      <c r="J93" s="9" t="n">
        <v>6500</v>
      </c>
      <c r="K93" s="9" t="n">
        <v>3900</v>
      </c>
      <c r="L93" s="10" t="n">
        <f aca="false">K93/I93</f>
        <v>0.375</v>
      </c>
    </row>
    <row r="94" customFormat="false" ht="15" hidden="false" customHeight="false" outlineLevel="0" collapsed="false">
      <c r="A94" s="3" t="s">
        <v>140</v>
      </c>
      <c r="B94" s="3" t="s">
        <v>42</v>
      </c>
      <c r="C94" s="3" t="s">
        <v>21</v>
      </c>
      <c r="D94" s="4" t="s">
        <v>31</v>
      </c>
      <c r="E94" s="4" t="s">
        <v>23</v>
      </c>
      <c r="F94" s="3" t="s">
        <v>24</v>
      </c>
      <c r="G94" s="5" t="n">
        <v>13</v>
      </c>
      <c r="H94" s="5" t="n">
        <v>400</v>
      </c>
      <c r="I94" s="5" t="n">
        <v>5200</v>
      </c>
      <c r="J94" s="5" t="n">
        <v>3250</v>
      </c>
      <c r="K94" s="5" t="n">
        <v>1950</v>
      </c>
      <c r="L94" s="6" t="n">
        <f aca="false">K94/I94</f>
        <v>0.375</v>
      </c>
    </row>
    <row r="95" customFormat="false" ht="15" hidden="false" customHeight="false" outlineLevel="0" collapsed="false">
      <c r="A95" s="7" t="s">
        <v>141</v>
      </c>
      <c r="B95" s="7" t="s">
        <v>45</v>
      </c>
      <c r="C95" s="7" t="s">
        <v>57</v>
      </c>
      <c r="D95" s="8" t="s">
        <v>22</v>
      </c>
      <c r="E95" s="8" t="s">
        <v>32</v>
      </c>
      <c r="F95" s="7" t="s">
        <v>18</v>
      </c>
      <c r="G95" s="9" t="n">
        <v>7</v>
      </c>
      <c r="H95" s="9" t="n">
        <v>200</v>
      </c>
      <c r="I95" s="9" t="n">
        <v>1400</v>
      </c>
      <c r="J95" s="9" t="n">
        <v>840</v>
      </c>
      <c r="K95" s="9" t="n">
        <v>560</v>
      </c>
      <c r="L95" s="10" t="n">
        <f aca="false">K95/I95</f>
        <v>0.4</v>
      </c>
    </row>
    <row r="96" customFormat="false" ht="15" hidden="false" customHeight="false" outlineLevel="0" collapsed="false">
      <c r="A96" s="3" t="s">
        <v>142</v>
      </c>
      <c r="B96" s="3" t="s">
        <v>48</v>
      </c>
      <c r="C96" s="3" t="s">
        <v>21</v>
      </c>
      <c r="D96" s="4" t="s">
        <v>27</v>
      </c>
      <c r="E96" s="4" t="s">
        <v>28</v>
      </c>
      <c r="F96" s="3" t="s">
        <v>24</v>
      </c>
      <c r="G96" s="5" t="n">
        <v>7</v>
      </c>
      <c r="H96" s="5" t="n">
        <v>800</v>
      </c>
      <c r="I96" s="5" t="n">
        <v>5600</v>
      </c>
      <c r="J96" s="5" t="n">
        <v>3500</v>
      </c>
      <c r="K96" s="5" t="n">
        <v>2100</v>
      </c>
      <c r="L96" s="6" t="n">
        <f aca="false">K96/I96</f>
        <v>0.375</v>
      </c>
    </row>
    <row r="97" customFormat="false" ht="15" hidden="false" customHeight="false" outlineLevel="0" collapsed="false">
      <c r="A97" s="7" t="s">
        <v>143</v>
      </c>
      <c r="B97" s="7" t="s">
        <v>51</v>
      </c>
      <c r="C97" s="7" t="s">
        <v>46</v>
      </c>
      <c r="D97" s="8" t="s">
        <v>27</v>
      </c>
      <c r="E97" s="8" t="s">
        <v>32</v>
      </c>
      <c r="F97" s="7" t="s">
        <v>18</v>
      </c>
      <c r="G97" s="9" t="n">
        <v>10</v>
      </c>
      <c r="H97" s="9" t="n">
        <v>200</v>
      </c>
      <c r="I97" s="9" t="n">
        <v>2000</v>
      </c>
      <c r="J97" s="9" t="n">
        <v>1200</v>
      </c>
      <c r="K97" s="9" t="n">
        <v>800</v>
      </c>
      <c r="L97" s="10" t="n">
        <f aca="false">K97/I97</f>
        <v>0.4</v>
      </c>
    </row>
    <row r="98" customFormat="false" ht="15" hidden="false" customHeight="false" outlineLevel="0" collapsed="false">
      <c r="A98" s="3" t="s">
        <v>144</v>
      </c>
      <c r="B98" s="3" t="s">
        <v>54</v>
      </c>
      <c r="C98" s="3" t="s">
        <v>21</v>
      </c>
      <c r="D98" s="4" t="s">
        <v>49</v>
      </c>
      <c r="E98" s="4" t="s">
        <v>43</v>
      </c>
      <c r="F98" s="3" t="s">
        <v>24</v>
      </c>
      <c r="G98" s="5" t="n">
        <v>3</v>
      </c>
      <c r="H98" s="5" t="n">
        <v>80</v>
      </c>
      <c r="I98" s="5" t="n">
        <v>240</v>
      </c>
      <c r="J98" s="5" t="n">
        <v>135</v>
      </c>
      <c r="K98" s="5" t="n">
        <v>105</v>
      </c>
      <c r="L98" s="6" t="n">
        <f aca="false">K98/I98</f>
        <v>0.4375</v>
      </c>
    </row>
    <row r="99" customFormat="false" ht="15" hidden="false" customHeight="false" outlineLevel="0" collapsed="false">
      <c r="A99" s="7" t="s">
        <v>145</v>
      </c>
      <c r="B99" s="7" t="s">
        <v>56</v>
      </c>
      <c r="C99" s="7" t="s">
        <v>57</v>
      </c>
      <c r="D99" s="8" t="s">
        <v>31</v>
      </c>
      <c r="E99" s="8" t="s">
        <v>32</v>
      </c>
      <c r="F99" s="7" t="s">
        <v>18</v>
      </c>
      <c r="G99" s="9" t="n">
        <v>16</v>
      </c>
      <c r="H99" s="9" t="n">
        <v>200</v>
      </c>
      <c r="I99" s="9" t="n">
        <v>3200</v>
      </c>
      <c r="J99" s="9" t="n">
        <v>1920</v>
      </c>
      <c r="K99" s="9" t="n">
        <v>1280</v>
      </c>
      <c r="L99" s="10" t="n">
        <f aca="false">K99/I99</f>
        <v>0.4</v>
      </c>
    </row>
    <row r="100" customFormat="false" ht="15" hidden="false" customHeight="false" outlineLevel="0" collapsed="false">
      <c r="A100" s="3" t="s">
        <v>146</v>
      </c>
      <c r="B100" s="3" t="s">
        <v>14</v>
      </c>
      <c r="C100" s="3" t="s">
        <v>46</v>
      </c>
      <c r="D100" s="4" t="s">
        <v>60</v>
      </c>
      <c r="E100" s="4" t="s">
        <v>32</v>
      </c>
      <c r="F100" s="3" t="s">
        <v>18</v>
      </c>
      <c r="G100" s="5" t="n">
        <v>9</v>
      </c>
      <c r="H100" s="5" t="n">
        <v>200</v>
      </c>
      <c r="I100" s="5" t="n">
        <v>1800</v>
      </c>
      <c r="J100" s="5" t="n">
        <v>1080</v>
      </c>
      <c r="K100" s="5" t="n">
        <v>720</v>
      </c>
      <c r="L100" s="6" t="n">
        <f aca="false">K100/I100</f>
        <v>0.4</v>
      </c>
    </row>
    <row r="101" customFormat="false" ht="15" hidden="false" customHeight="false" outlineLevel="0" collapsed="false">
      <c r="A101" s="7" t="s">
        <v>147</v>
      </c>
      <c r="B101" s="7" t="s">
        <v>20</v>
      </c>
      <c r="C101" s="7" t="s">
        <v>15</v>
      </c>
      <c r="D101" s="8" t="s">
        <v>31</v>
      </c>
      <c r="E101" s="8" t="s">
        <v>43</v>
      </c>
      <c r="F101" s="7" t="s">
        <v>24</v>
      </c>
      <c r="G101" s="9" t="n">
        <v>12</v>
      </c>
      <c r="H101" s="9" t="n">
        <v>80</v>
      </c>
      <c r="I101" s="9" t="n">
        <v>960</v>
      </c>
      <c r="J101" s="9" t="n">
        <v>540</v>
      </c>
      <c r="K101" s="9" t="n">
        <v>420</v>
      </c>
      <c r="L101" s="10" t="n">
        <f aca="false">K101/I101</f>
        <v>0.4375</v>
      </c>
    </row>
    <row r="102" customFormat="false" ht="15" hidden="false" customHeight="false" outlineLevel="0" collapsed="false">
      <c r="A102" s="3" t="s">
        <v>148</v>
      </c>
      <c r="B102" s="3" t="s">
        <v>26</v>
      </c>
      <c r="C102" s="3" t="s">
        <v>46</v>
      </c>
      <c r="D102" s="4" t="s">
        <v>49</v>
      </c>
      <c r="E102" s="4" t="s">
        <v>17</v>
      </c>
      <c r="F102" s="3" t="s">
        <v>18</v>
      </c>
      <c r="G102" s="5" t="n">
        <v>13</v>
      </c>
      <c r="H102" s="5" t="n">
        <v>150</v>
      </c>
      <c r="I102" s="5" t="n">
        <v>1950</v>
      </c>
      <c r="J102" s="5" t="n">
        <v>1170</v>
      </c>
      <c r="K102" s="5" t="n">
        <v>780</v>
      </c>
      <c r="L102" s="6" t="n">
        <f aca="false">K102/I102</f>
        <v>0.4</v>
      </c>
    </row>
    <row r="103" customFormat="false" ht="15" hidden="false" customHeight="false" outlineLevel="0" collapsed="false">
      <c r="A103" s="7" t="s">
        <v>149</v>
      </c>
      <c r="B103" s="7" t="s">
        <v>30</v>
      </c>
      <c r="C103" s="7" t="s">
        <v>57</v>
      </c>
      <c r="D103" s="8" t="s">
        <v>52</v>
      </c>
      <c r="E103" s="8" t="s">
        <v>28</v>
      </c>
      <c r="F103" s="7" t="s">
        <v>24</v>
      </c>
      <c r="G103" s="9" t="n">
        <v>5</v>
      </c>
      <c r="H103" s="9" t="n">
        <v>800</v>
      </c>
      <c r="I103" s="9" t="n">
        <v>4000</v>
      </c>
      <c r="J103" s="9" t="n">
        <v>2500</v>
      </c>
      <c r="K103" s="9" t="n">
        <v>1500</v>
      </c>
      <c r="L103" s="10" t="n">
        <f aca="false">K103/I103</f>
        <v>0.375</v>
      </c>
    </row>
    <row r="104" customFormat="false" ht="15" hidden="false" customHeight="false" outlineLevel="0" collapsed="false">
      <c r="A104" s="3" t="s">
        <v>150</v>
      </c>
      <c r="B104" s="3" t="s">
        <v>34</v>
      </c>
      <c r="C104" s="3" t="s">
        <v>46</v>
      </c>
      <c r="D104" s="4" t="s">
        <v>22</v>
      </c>
      <c r="E104" s="4" t="s">
        <v>39</v>
      </c>
      <c r="F104" s="3" t="s">
        <v>40</v>
      </c>
      <c r="G104" s="5" t="n">
        <v>10</v>
      </c>
      <c r="H104" s="5" t="n">
        <v>15</v>
      </c>
      <c r="I104" s="5" t="n">
        <v>150</v>
      </c>
      <c r="J104" s="5" t="n">
        <v>50</v>
      </c>
      <c r="K104" s="5" t="n">
        <v>100</v>
      </c>
      <c r="L104" s="6" t="n">
        <f aca="false">K104/I104</f>
        <v>0.666666666666667</v>
      </c>
    </row>
    <row r="105" customFormat="false" ht="15" hidden="false" customHeight="false" outlineLevel="0" collapsed="false">
      <c r="A105" s="7" t="s">
        <v>151</v>
      </c>
      <c r="B105" s="7" t="s">
        <v>37</v>
      </c>
      <c r="C105" s="7" t="s">
        <v>15</v>
      </c>
      <c r="D105" s="8" t="s">
        <v>49</v>
      </c>
      <c r="E105" s="8" t="s">
        <v>39</v>
      </c>
      <c r="F105" s="7" t="s">
        <v>40</v>
      </c>
      <c r="G105" s="9" t="n">
        <v>15</v>
      </c>
      <c r="H105" s="9" t="n">
        <v>15</v>
      </c>
      <c r="I105" s="9" t="n">
        <v>225</v>
      </c>
      <c r="J105" s="9" t="n">
        <v>75</v>
      </c>
      <c r="K105" s="9" t="n">
        <v>150</v>
      </c>
      <c r="L105" s="10" t="n">
        <f aca="false">K105/I105</f>
        <v>0.666666666666667</v>
      </c>
    </row>
    <row r="106" customFormat="false" ht="15" hidden="false" customHeight="false" outlineLevel="0" collapsed="false">
      <c r="A106" s="3" t="s">
        <v>152</v>
      </c>
      <c r="B106" s="3" t="s">
        <v>42</v>
      </c>
      <c r="C106" s="3" t="s">
        <v>46</v>
      </c>
      <c r="D106" s="4" t="s">
        <v>52</v>
      </c>
      <c r="E106" s="4" t="s">
        <v>43</v>
      </c>
      <c r="F106" s="3" t="s">
        <v>24</v>
      </c>
      <c r="G106" s="5" t="n">
        <v>21</v>
      </c>
      <c r="H106" s="5" t="n">
        <v>80</v>
      </c>
      <c r="I106" s="5" t="n">
        <v>1680</v>
      </c>
      <c r="J106" s="5" t="n">
        <v>945</v>
      </c>
      <c r="K106" s="5" t="n">
        <v>735</v>
      </c>
      <c r="L106" s="6" t="n">
        <f aca="false">K106/I106</f>
        <v>0.4375</v>
      </c>
    </row>
    <row r="107" customFormat="false" ht="15" hidden="false" customHeight="false" outlineLevel="0" collapsed="false">
      <c r="A107" s="7" t="s">
        <v>153</v>
      </c>
      <c r="B107" s="7" t="s">
        <v>45</v>
      </c>
      <c r="C107" s="7" t="s">
        <v>15</v>
      </c>
      <c r="D107" s="8" t="s">
        <v>27</v>
      </c>
      <c r="E107" s="8" t="s">
        <v>39</v>
      </c>
      <c r="F107" s="7" t="s">
        <v>40</v>
      </c>
      <c r="G107" s="9" t="n">
        <v>8</v>
      </c>
      <c r="H107" s="9" t="n">
        <v>15</v>
      </c>
      <c r="I107" s="9" t="n">
        <v>120</v>
      </c>
      <c r="J107" s="9" t="n">
        <v>40</v>
      </c>
      <c r="K107" s="9" t="n">
        <v>80</v>
      </c>
      <c r="L107" s="10" t="n">
        <f aca="false">K107/I107</f>
        <v>0.666666666666667</v>
      </c>
    </row>
    <row r="108" customFormat="false" ht="15" hidden="false" customHeight="false" outlineLevel="0" collapsed="false">
      <c r="A108" s="3" t="s">
        <v>154</v>
      </c>
      <c r="B108" s="3" t="s">
        <v>48</v>
      </c>
      <c r="C108" s="3" t="s">
        <v>46</v>
      </c>
      <c r="D108" s="4" t="s">
        <v>16</v>
      </c>
      <c r="E108" s="4" t="s">
        <v>43</v>
      </c>
      <c r="F108" s="3" t="s">
        <v>24</v>
      </c>
      <c r="G108" s="5" t="n">
        <v>2</v>
      </c>
      <c r="H108" s="5" t="n">
        <v>80</v>
      </c>
      <c r="I108" s="5" t="n">
        <v>160</v>
      </c>
      <c r="J108" s="5" t="n">
        <v>90</v>
      </c>
      <c r="K108" s="5" t="n">
        <v>70</v>
      </c>
      <c r="L108" s="6" t="n">
        <f aca="false">K108/I108</f>
        <v>0.4375</v>
      </c>
    </row>
    <row r="109" customFormat="false" ht="15" hidden="false" customHeight="false" outlineLevel="0" collapsed="false">
      <c r="A109" s="7" t="s">
        <v>155</v>
      </c>
      <c r="B109" s="7" t="s">
        <v>51</v>
      </c>
      <c r="C109" s="7" t="s">
        <v>21</v>
      </c>
      <c r="D109" s="8" t="s">
        <v>52</v>
      </c>
      <c r="E109" s="8" t="s">
        <v>43</v>
      </c>
      <c r="F109" s="7" t="s">
        <v>24</v>
      </c>
      <c r="G109" s="9" t="n">
        <v>4</v>
      </c>
      <c r="H109" s="9" t="n">
        <v>80</v>
      </c>
      <c r="I109" s="9" t="n">
        <v>320</v>
      </c>
      <c r="J109" s="9" t="n">
        <v>180</v>
      </c>
      <c r="K109" s="9" t="n">
        <v>140</v>
      </c>
      <c r="L109" s="10" t="n">
        <f aca="false">K109/I109</f>
        <v>0.4375</v>
      </c>
    </row>
    <row r="110" customFormat="false" ht="15" hidden="false" customHeight="false" outlineLevel="0" collapsed="false">
      <c r="A110" s="3" t="s">
        <v>156</v>
      </c>
      <c r="B110" s="3" t="s">
        <v>54</v>
      </c>
      <c r="C110" s="3" t="s">
        <v>46</v>
      </c>
      <c r="D110" s="4" t="s">
        <v>52</v>
      </c>
      <c r="E110" s="4" t="s">
        <v>23</v>
      </c>
      <c r="F110" s="3" t="s">
        <v>24</v>
      </c>
      <c r="G110" s="5" t="n">
        <v>25</v>
      </c>
      <c r="H110" s="5" t="n">
        <v>400</v>
      </c>
      <c r="I110" s="5" t="n">
        <v>10000</v>
      </c>
      <c r="J110" s="5" t="n">
        <v>6250</v>
      </c>
      <c r="K110" s="5" t="n">
        <v>3750</v>
      </c>
      <c r="L110" s="6" t="n">
        <f aca="false">K110/I110</f>
        <v>0.375</v>
      </c>
    </row>
    <row r="111" customFormat="false" ht="15" hidden="false" customHeight="false" outlineLevel="0" collapsed="false">
      <c r="A111" s="7" t="s">
        <v>157</v>
      </c>
      <c r="B111" s="7" t="s">
        <v>56</v>
      </c>
      <c r="C111" s="7" t="s">
        <v>46</v>
      </c>
      <c r="D111" s="8" t="s">
        <v>60</v>
      </c>
      <c r="E111" s="8" t="s">
        <v>43</v>
      </c>
      <c r="F111" s="7" t="s">
        <v>24</v>
      </c>
      <c r="G111" s="9" t="n">
        <v>12</v>
      </c>
      <c r="H111" s="9" t="n">
        <v>80</v>
      </c>
      <c r="I111" s="9" t="n">
        <v>960</v>
      </c>
      <c r="J111" s="9" t="n">
        <v>540</v>
      </c>
      <c r="K111" s="9" t="n">
        <v>420</v>
      </c>
      <c r="L111" s="10" t="n">
        <f aca="false">K111/I111</f>
        <v>0.4375</v>
      </c>
    </row>
    <row r="112" customFormat="false" ht="15" hidden="false" customHeight="false" outlineLevel="0" collapsed="false">
      <c r="A112" s="3" t="s">
        <v>158</v>
      </c>
      <c r="B112" s="3" t="s">
        <v>14</v>
      </c>
      <c r="C112" s="3" t="s">
        <v>57</v>
      </c>
      <c r="D112" s="4" t="s">
        <v>60</v>
      </c>
      <c r="E112" s="4" t="s">
        <v>35</v>
      </c>
      <c r="F112" s="3" t="s">
        <v>18</v>
      </c>
      <c r="G112" s="5" t="n">
        <v>6</v>
      </c>
      <c r="H112" s="5" t="n">
        <v>60</v>
      </c>
      <c r="I112" s="5" t="n">
        <v>360</v>
      </c>
      <c r="J112" s="5" t="n">
        <v>210</v>
      </c>
      <c r="K112" s="5" t="n">
        <v>150</v>
      </c>
      <c r="L112" s="6" t="n">
        <f aca="false">K112/I112</f>
        <v>0.416666666666667</v>
      </c>
    </row>
    <row r="113" customFormat="false" ht="15" hidden="false" customHeight="false" outlineLevel="0" collapsed="false">
      <c r="A113" s="7" t="s">
        <v>159</v>
      </c>
      <c r="B113" s="7" t="s">
        <v>20</v>
      </c>
      <c r="C113" s="7" t="s">
        <v>21</v>
      </c>
      <c r="D113" s="8" t="s">
        <v>27</v>
      </c>
      <c r="E113" s="8" t="s">
        <v>43</v>
      </c>
      <c r="F113" s="7" t="s">
        <v>24</v>
      </c>
      <c r="G113" s="9" t="n">
        <v>23</v>
      </c>
      <c r="H113" s="9" t="n">
        <v>80</v>
      </c>
      <c r="I113" s="9" t="n">
        <v>1840</v>
      </c>
      <c r="J113" s="9" t="n">
        <v>1035</v>
      </c>
      <c r="K113" s="9" t="n">
        <v>805</v>
      </c>
      <c r="L113" s="10" t="n">
        <f aca="false">K113/I113</f>
        <v>0.4375</v>
      </c>
    </row>
    <row r="114" customFormat="false" ht="15" hidden="false" customHeight="false" outlineLevel="0" collapsed="false">
      <c r="A114" s="3" t="s">
        <v>160</v>
      </c>
      <c r="B114" s="3" t="s">
        <v>26</v>
      </c>
      <c r="C114" s="3" t="s">
        <v>21</v>
      </c>
      <c r="D114" s="4" t="s">
        <v>60</v>
      </c>
      <c r="E114" s="4" t="s">
        <v>43</v>
      </c>
      <c r="F114" s="3" t="s">
        <v>24</v>
      </c>
      <c r="G114" s="5" t="n">
        <v>19</v>
      </c>
      <c r="H114" s="5" t="n">
        <v>80</v>
      </c>
      <c r="I114" s="5" t="n">
        <v>1520</v>
      </c>
      <c r="J114" s="5" t="n">
        <v>855</v>
      </c>
      <c r="K114" s="5" t="n">
        <v>665</v>
      </c>
      <c r="L114" s="6" t="n">
        <f aca="false">K114/I114</f>
        <v>0.4375</v>
      </c>
    </row>
    <row r="115" customFormat="false" ht="15" hidden="false" customHeight="false" outlineLevel="0" collapsed="false">
      <c r="A115" s="7" t="s">
        <v>161</v>
      </c>
      <c r="B115" s="7" t="s">
        <v>30</v>
      </c>
      <c r="C115" s="7" t="s">
        <v>15</v>
      </c>
      <c r="D115" s="8" t="s">
        <v>60</v>
      </c>
      <c r="E115" s="8" t="s">
        <v>17</v>
      </c>
      <c r="F115" s="7" t="s">
        <v>18</v>
      </c>
      <c r="G115" s="9" t="n">
        <v>8</v>
      </c>
      <c r="H115" s="9" t="n">
        <v>150</v>
      </c>
      <c r="I115" s="9" t="n">
        <v>1200</v>
      </c>
      <c r="J115" s="9" t="n">
        <v>720</v>
      </c>
      <c r="K115" s="9" t="n">
        <v>480</v>
      </c>
      <c r="L115" s="10" t="n">
        <f aca="false">K115/I115</f>
        <v>0.4</v>
      </c>
    </row>
    <row r="116" customFormat="false" ht="15" hidden="false" customHeight="false" outlineLevel="0" collapsed="false">
      <c r="A116" s="3" t="s">
        <v>162</v>
      </c>
      <c r="B116" s="3" t="s">
        <v>34</v>
      </c>
      <c r="C116" s="3" t="s">
        <v>57</v>
      </c>
      <c r="D116" s="4" t="s">
        <v>52</v>
      </c>
      <c r="E116" s="4" t="s">
        <v>72</v>
      </c>
      <c r="F116" s="3" t="s">
        <v>24</v>
      </c>
      <c r="G116" s="5" t="n">
        <v>16</v>
      </c>
      <c r="H116" s="5" t="n">
        <v>50</v>
      </c>
      <c r="I116" s="5" t="n">
        <v>800</v>
      </c>
      <c r="J116" s="5" t="n">
        <v>448</v>
      </c>
      <c r="K116" s="5" t="n">
        <v>352</v>
      </c>
      <c r="L116" s="6" t="n">
        <f aca="false">K116/I116</f>
        <v>0.44</v>
      </c>
    </row>
    <row r="117" customFormat="false" ht="15" hidden="false" customHeight="false" outlineLevel="0" collapsed="false">
      <c r="A117" s="7" t="s">
        <v>163</v>
      </c>
      <c r="B117" s="7" t="s">
        <v>37</v>
      </c>
      <c r="C117" s="7" t="s">
        <v>57</v>
      </c>
      <c r="D117" s="8" t="s">
        <v>31</v>
      </c>
      <c r="E117" s="8" t="s">
        <v>35</v>
      </c>
      <c r="F117" s="7" t="s">
        <v>18</v>
      </c>
      <c r="G117" s="9" t="n">
        <v>17</v>
      </c>
      <c r="H117" s="9" t="n">
        <v>60</v>
      </c>
      <c r="I117" s="9" t="n">
        <v>1020</v>
      </c>
      <c r="J117" s="9" t="n">
        <v>595</v>
      </c>
      <c r="K117" s="9" t="n">
        <v>425</v>
      </c>
      <c r="L117" s="10" t="n">
        <f aca="false">K117/I117</f>
        <v>0.416666666666667</v>
      </c>
    </row>
    <row r="118" customFormat="false" ht="15" hidden="false" customHeight="false" outlineLevel="0" collapsed="false">
      <c r="A118" s="3" t="s">
        <v>164</v>
      </c>
      <c r="B118" s="3" t="s">
        <v>42</v>
      </c>
      <c r="C118" s="3" t="s">
        <v>21</v>
      </c>
      <c r="D118" s="4" t="s">
        <v>49</v>
      </c>
      <c r="E118" s="4" t="s">
        <v>17</v>
      </c>
      <c r="F118" s="3" t="s">
        <v>18</v>
      </c>
      <c r="G118" s="5" t="n">
        <v>18</v>
      </c>
      <c r="H118" s="5" t="n">
        <v>150</v>
      </c>
      <c r="I118" s="5" t="n">
        <v>2700</v>
      </c>
      <c r="J118" s="5" t="n">
        <v>1620</v>
      </c>
      <c r="K118" s="5" t="n">
        <v>1080</v>
      </c>
      <c r="L118" s="6" t="n">
        <f aca="false">K118/I118</f>
        <v>0.4</v>
      </c>
    </row>
    <row r="119" customFormat="false" ht="15" hidden="false" customHeight="false" outlineLevel="0" collapsed="false">
      <c r="A119" s="7" t="s">
        <v>165</v>
      </c>
      <c r="B119" s="7" t="s">
        <v>45</v>
      </c>
      <c r="C119" s="7" t="s">
        <v>46</v>
      </c>
      <c r="D119" s="8" t="s">
        <v>49</v>
      </c>
      <c r="E119" s="8" t="s">
        <v>32</v>
      </c>
      <c r="F119" s="7" t="s">
        <v>18</v>
      </c>
      <c r="G119" s="9" t="n">
        <v>23</v>
      </c>
      <c r="H119" s="9" t="n">
        <v>200</v>
      </c>
      <c r="I119" s="9" t="n">
        <v>4600</v>
      </c>
      <c r="J119" s="9" t="n">
        <v>2760</v>
      </c>
      <c r="K119" s="9" t="n">
        <v>1840</v>
      </c>
      <c r="L119" s="10" t="n">
        <f aca="false">K119/I119</f>
        <v>0.4</v>
      </c>
    </row>
    <row r="120" customFormat="false" ht="15" hidden="false" customHeight="false" outlineLevel="0" collapsed="false">
      <c r="A120" s="3" t="s">
        <v>166</v>
      </c>
      <c r="B120" s="3" t="s">
        <v>48</v>
      </c>
      <c r="C120" s="3" t="s">
        <v>46</v>
      </c>
      <c r="D120" s="4" t="s">
        <v>31</v>
      </c>
      <c r="E120" s="4" t="s">
        <v>32</v>
      </c>
      <c r="F120" s="3" t="s">
        <v>18</v>
      </c>
      <c r="G120" s="5" t="n">
        <v>6</v>
      </c>
      <c r="H120" s="5" t="n">
        <v>200</v>
      </c>
      <c r="I120" s="5" t="n">
        <v>1200</v>
      </c>
      <c r="J120" s="5" t="n">
        <v>720</v>
      </c>
      <c r="K120" s="5" t="n">
        <v>480</v>
      </c>
      <c r="L120" s="6" t="n">
        <f aca="false">K120/I120</f>
        <v>0.4</v>
      </c>
    </row>
    <row r="121" customFormat="false" ht="15" hidden="false" customHeight="false" outlineLevel="0" collapsed="false">
      <c r="A121" s="7" t="s">
        <v>167</v>
      </c>
      <c r="B121" s="7" t="s">
        <v>51</v>
      </c>
      <c r="C121" s="7" t="s">
        <v>15</v>
      </c>
      <c r="D121" s="8" t="s">
        <v>16</v>
      </c>
      <c r="E121" s="8" t="s">
        <v>32</v>
      </c>
      <c r="F121" s="7" t="s">
        <v>18</v>
      </c>
      <c r="G121" s="9" t="n">
        <v>17</v>
      </c>
      <c r="H121" s="9" t="n">
        <v>200</v>
      </c>
      <c r="I121" s="9" t="n">
        <v>3400</v>
      </c>
      <c r="J121" s="9" t="n">
        <v>2040</v>
      </c>
      <c r="K121" s="9" t="n">
        <v>1360</v>
      </c>
      <c r="L121" s="10" t="n">
        <f aca="false">K121/I121</f>
        <v>0.4</v>
      </c>
    </row>
    <row r="122" customFormat="false" ht="15" hidden="false" customHeight="false" outlineLevel="0" collapsed="false">
      <c r="A122" s="3" t="s">
        <v>168</v>
      </c>
      <c r="B122" s="3" t="s">
        <v>54</v>
      </c>
      <c r="C122" s="3" t="s">
        <v>15</v>
      </c>
      <c r="D122" s="4" t="s">
        <v>38</v>
      </c>
      <c r="E122" s="4" t="s">
        <v>43</v>
      </c>
      <c r="F122" s="3" t="s">
        <v>24</v>
      </c>
      <c r="G122" s="5" t="n">
        <v>22</v>
      </c>
      <c r="H122" s="5" t="n">
        <v>80</v>
      </c>
      <c r="I122" s="5" t="n">
        <v>1760</v>
      </c>
      <c r="J122" s="5" t="n">
        <v>990</v>
      </c>
      <c r="K122" s="5" t="n">
        <v>770</v>
      </c>
      <c r="L122" s="6" t="n">
        <f aca="false">K122/I122</f>
        <v>0.4375</v>
      </c>
    </row>
    <row r="123" customFormat="false" ht="15" hidden="false" customHeight="false" outlineLevel="0" collapsed="false">
      <c r="A123" s="7" t="s">
        <v>169</v>
      </c>
      <c r="B123" s="7" t="s">
        <v>56</v>
      </c>
      <c r="C123" s="7" t="s">
        <v>21</v>
      </c>
      <c r="D123" s="8" t="s">
        <v>27</v>
      </c>
      <c r="E123" s="8" t="s">
        <v>72</v>
      </c>
      <c r="F123" s="7" t="s">
        <v>24</v>
      </c>
      <c r="G123" s="9" t="n">
        <v>14</v>
      </c>
      <c r="H123" s="9" t="n">
        <v>50</v>
      </c>
      <c r="I123" s="9" t="n">
        <v>700</v>
      </c>
      <c r="J123" s="9" t="n">
        <v>392</v>
      </c>
      <c r="K123" s="9" t="n">
        <v>308</v>
      </c>
      <c r="L123" s="10" t="n">
        <f aca="false">K123/I123</f>
        <v>0.44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45" hidden="false" customHeight="true" outlineLevel="0" collapsed="false">
      <c r="A1" s="11" t="s">
        <v>170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customFormat="false" ht="21.75" hidden="false" customHeight="true" outlineLevel="0" collapsed="false">
      <c r="A2" s="12" t="s">
        <v>171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customFormat="false" ht="25.5" hidden="false" customHeight="true" outlineLevel="0" collapsed="false">
      <c r="A4" s="13" t="s">
        <v>172</v>
      </c>
      <c r="B4" s="13"/>
      <c r="C4" s="13"/>
      <c r="D4" s="14" t="s">
        <v>173</v>
      </c>
      <c r="E4" s="14"/>
      <c r="F4" s="14"/>
      <c r="G4" s="15" t="s">
        <v>174</v>
      </c>
      <c r="H4" s="15"/>
      <c r="I4" s="15"/>
      <c r="J4" s="16" t="s">
        <v>175</v>
      </c>
      <c r="K4" s="16"/>
      <c r="L4" s="16"/>
    </row>
    <row r="5" customFormat="false" ht="34.5" hidden="false" customHeight="true" outlineLevel="0" collapsed="false">
      <c r="A5" s="17" t="n">
        <f aca="false">SUMIF('Raw Data'!I4:I123,"&gt;0",'Raw Data'!I4:I123)</f>
        <v>294100</v>
      </c>
      <c r="B5" s="17"/>
      <c r="C5" s="17"/>
      <c r="D5" s="18" t="n">
        <f aca="false">SUMIF('Raw Data'!K4:K123,"&gt;0",'Raw Data'!K4:K123)</f>
        <v>115610</v>
      </c>
      <c r="E5" s="18"/>
      <c r="F5" s="18"/>
      <c r="G5" s="19" t="n">
        <f aca="false">COUNTA('Raw Data'!A4:A123)</f>
        <v>120</v>
      </c>
      <c r="H5" s="19"/>
      <c r="I5" s="19"/>
      <c r="J5" s="20" t="n">
        <f aca="false">AVERAGE('Raw Data'!L4:L123)</f>
        <v>0.427548611111111</v>
      </c>
      <c r="K5" s="20"/>
      <c r="L5" s="20"/>
    </row>
    <row r="6" customFormat="false" ht="34.5" hidden="false" customHeight="true" outlineLevel="0" collapsed="false">
      <c r="A6" s="17"/>
      <c r="B6" s="17"/>
      <c r="C6" s="17"/>
      <c r="D6" s="18"/>
      <c r="E6" s="18"/>
      <c r="F6" s="18"/>
      <c r="G6" s="19"/>
      <c r="H6" s="19"/>
      <c r="I6" s="19"/>
      <c r="J6" s="20"/>
      <c r="K6" s="20"/>
      <c r="L6" s="20"/>
    </row>
    <row r="7" customFormat="false" ht="34.5" hidden="false" customHeight="true" outlineLevel="0" collapsed="false">
      <c r="A7" s="17"/>
      <c r="B7" s="17"/>
      <c r="C7" s="17"/>
      <c r="D7" s="18"/>
      <c r="E7" s="18"/>
      <c r="F7" s="18"/>
      <c r="G7" s="19"/>
      <c r="H7" s="19"/>
      <c r="I7" s="19"/>
      <c r="J7" s="20"/>
      <c r="K7" s="20"/>
      <c r="L7" s="20"/>
    </row>
    <row r="9" customFormat="false" ht="25.5" hidden="false" customHeight="true" outlineLevel="0" collapsed="false">
      <c r="A9" s="21" t="s">
        <v>176</v>
      </c>
      <c r="B9" s="21"/>
      <c r="C9" s="21"/>
      <c r="D9" s="21"/>
      <c r="E9" s="21"/>
      <c r="F9" s="21"/>
      <c r="H9" s="21" t="s">
        <v>177</v>
      </c>
      <c r="I9" s="21"/>
      <c r="J9" s="21"/>
      <c r="K9" s="21"/>
      <c r="L9" s="21"/>
    </row>
    <row r="10" customFormat="false" ht="15" hidden="false" customHeight="false" outlineLevel="0" collapsed="false">
      <c r="A10" s="22" t="s">
        <v>2</v>
      </c>
      <c r="B10" s="22" t="s">
        <v>178</v>
      </c>
      <c r="C10" s="22" t="s">
        <v>179</v>
      </c>
      <c r="D10" s="22" t="s">
        <v>180</v>
      </c>
      <c r="E10" s="22" t="s">
        <v>181</v>
      </c>
      <c r="F10" s="22" t="s">
        <v>182</v>
      </c>
      <c r="H10" s="22" t="s">
        <v>3</v>
      </c>
      <c r="I10" s="22" t="s">
        <v>183</v>
      </c>
      <c r="J10" s="22" t="s">
        <v>184</v>
      </c>
      <c r="K10" s="22" t="s">
        <v>180</v>
      </c>
      <c r="L10" s="22" t="s">
        <v>185</v>
      </c>
    </row>
    <row r="11" customFormat="false" ht="15" hidden="false" customHeight="false" outlineLevel="0" collapsed="false">
      <c r="A11" s="23" t="s">
        <v>14</v>
      </c>
      <c r="B11" s="24" t="n">
        <f aca="false">SUMIF('Raw Data'!B4:B123,A11,'Raw Data'!I4:I123)</f>
        <v>16810</v>
      </c>
      <c r="C11" s="24" t="n">
        <f aca="false">SUMIF('Raw Data'!B4:B123,A11,'Raw Data'!K4:K123)</f>
        <v>6789</v>
      </c>
      <c r="D11" s="25" t="n">
        <f aca="false">COUNTIF('Raw Data'!B4:B123,A11)</f>
        <v>10</v>
      </c>
      <c r="E11" s="24" t="n">
        <f aca="false">IF(D11&gt;0,B11/D11,0)</f>
        <v>1681</v>
      </c>
      <c r="F11" s="26" t="s">
        <v>186</v>
      </c>
      <c r="H11" s="27" t="s">
        <v>15</v>
      </c>
      <c r="I11" s="24" t="n">
        <f aca="false">SUMIF('Raw Data'!C4:C123,H11,'Raw Data'!I4:I123)</f>
        <v>61855</v>
      </c>
      <c r="J11" s="24" t="n">
        <f aca="false">SUMIF('Raw Data'!C4:C123,H11,'Raw Data'!K4:K123)</f>
        <v>24601</v>
      </c>
      <c r="K11" s="25" t="n">
        <f aca="false">COUNTIF('Raw Data'!C4:C123,H11)</f>
        <v>35</v>
      </c>
      <c r="L11" s="28" t="n">
        <f aca="false">IF(SUM(I11:I14)&gt;0,I11/SUM(I$11:I$14),0)</f>
        <v>0.210319619177151</v>
      </c>
    </row>
    <row r="12" customFormat="false" ht="15" hidden="false" customHeight="false" outlineLevel="0" collapsed="false">
      <c r="A12" s="29" t="s">
        <v>20</v>
      </c>
      <c r="B12" s="30" t="n">
        <f aca="false">SUMIF('Raw Data'!B4:B123,A12,'Raw Data'!I4:I123)</f>
        <v>27020</v>
      </c>
      <c r="C12" s="30" t="n">
        <f aca="false">SUMIF('Raw Data'!B4:B123,A12,'Raw Data'!K4:K123)</f>
        <v>10695</v>
      </c>
      <c r="D12" s="31" t="n">
        <f aca="false">COUNTIF('Raw Data'!B4:B123,A12)</f>
        <v>10</v>
      </c>
      <c r="E12" s="30" t="n">
        <f aca="false">IF(D12&gt;0,B12/D12,0)</f>
        <v>2702</v>
      </c>
      <c r="F12" s="32" t="n">
        <f aca="false">IF(B11&gt;0,(B12-B11)/B11,0)</f>
        <v>0.607376561570494</v>
      </c>
      <c r="H12" s="33" t="s">
        <v>21</v>
      </c>
      <c r="I12" s="30" t="n">
        <f aca="false">SUMIF('Raw Data'!C4:C123,H12,'Raw Data'!I4:I123)</f>
        <v>82070</v>
      </c>
      <c r="J12" s="30" t="n">
        <f aca="false">SUMIF('Raw Data'!C4:C123,H12,'Raw Data'!K4:K123)</f>
        <v>32410</v>
      </c>
      <c r="K12" s="31" t="n">
        <f aca="false">COUNTIF('Raw Data'!C4:C123,H12)</f>
        <v>30</v>
      </c>
      <c r="L12" s="32" t="n">
        <f aca="false">IF(SUM(I11:I14)&gt;0,I12/SUM(I$11:I$14),0)</f>
        <v>0.279054743284597</v>
      </c>
    </row>
    <row r="13" customFormat="false" ht="15" hidden="false" customHeight="false" outlineLevel="0" collapsed="false">
      <c r="A13" s="23" t="s">
        <v>26</v>
      </c>
      <c r="B13" s="24" t="n">
        <f aca="false">SUMIF('Raw Data'!B4:B123,A13,'Raw Data'!I4:I123)</f>
        <v>25100</v>
      </c>
      <c r="C13" s="24" t="n">
        <f aca="false">SUMIF('Raw Data'!B4:B123,A13,'Raw Data'!K4:K123)</f>
        <v>9757</v>
      </c>
      <c r="D13" s="25" t="n">
        <f aca="false">COUNTIF('Raw Data'!B4:B123,A13)</f>
        <v>10</v>
      </c>
      <c r="E13" s="24" t="n">
        <f aca="false">IF(D13&gt;0,B13/D13,0)</f>
        <v>2510</v>
      </c>
      <c r="F13" s="28" t="n">
        <f aca="false">IF(B12&gt;0,(B13-B12)/B12,0)</f>
        <v>-0.0710584752035529</v>
      </c>
      <c r="H13" s="27" t="s">
        <v>46</v>
      </c>
      <c r="I13" s="24" t="n">
        <f aca="false">SUMIF('Raw Data'!C4:C123,H13,'Raw Data'!I4:I123)</f>
        <v>94595</v>
      </c>
      <c r="J13" s="24" t="n">
        <f aca="false">SUMIF('Raw Data'!C4:C123,H13,'Raw Data'!K4:K123)</f>
        <v>37028</v>
      </c>
      <c r="K13" s="25" t="n">
        <f aca="false">COUNTIF('Raw Data'!C4:C123,H13)</f>
        <v>31</v>
      </c>
      <c r="L13" s="28" t="n">
        <f aca="false">IF(SUM(I11:I14)&gt;0,I13/SUM(I$11:I$14),0)</f>
        <v>0.321642298537912</v>
      </c>
    </row>
    <row r="14" customFormat="false" ht="15" hidden="false" customHeight="false" outlineLevel="0" collapsed="false">
      <c r="A14" s="29" t="s">
        <v>30</v>
      </c>
      <c r="B14" s="30" t="n">
        <f aca="false">SUMIF('Raw Data'!B4:B123,A14,'Raw Data'!I4:I123)</f>
        <v>25080</v>
      </c>
      <c r="C14" s="30" t="n">
        <f aca="false">SUMIF('Raw Data'!B4:B123,A14,'Raw Data'!K4:K123)</f>
        <v>9983</v>
      </c>
      <c r="D14" s="31" t="n">
        <f aca="false">COUNTIF('Raw Data'!B4:B123,A14)</f>
        <v>10</v>
      </c>
      <c r="E14" s="30" t="n">
        <f aca="false">IF(D14&gt;0,B14/D14,0)</f>
        <v>2508</v>
      </c>
      <c r="F14" s="32" t="n">
        <f aca="false">IF(B13&gt;0,(B14-B13)/B13,0)</f>
        <v>-0.000796812749003984</v>
      </c>
      <c r="H14" s="33" t="s">
        <v>57</v>
      </c>
      <c r="I14" s="30" t="n">
        <f aca="false">SUMIF('Raw Data'!C4:C123,H14,'Raw Data'!I4:I123)</f>
        <v>55580</v>
      </c>
      <c r="J14" s="30" t="n">
        <f aca="false">SUMIF('Raw Data'!C4:C123,H14,'Raw Data'!K4:K123)</f>
        <v>21571</v>
      </c>
      <c r="K14" s="31" t="n">
        <f aca="false">COUNTIF('Raw Data'!C4:C123,H14)</f>
        <v>24</v>
      </c>
      <c r="L14" s="32" t="n">
        <f aca="false">IF(SUM(I11:I14)&gt;0,I14/SUM(I$11:I$14),0)</f>
        <v>0.18898333900034</v>
      </c>
    </row>
    <row r="15" customFormat="false" ht="15" hidden="false" customHeight="false" outlineLevel="0" collapsed="false">
      <c r="A15" s="23" t="s">
        <v>34</v>
      </c>
      <c r="B15" s="24" t="n">
        <f aca="false">SUMIF('Raw Data'!B4:B123,A15,'Raw Data'!I4:I123)</f>
        <v>32340</v>
      </c>
      <c r="C15" s="24" t="n">
        <f aca="false">SUMIF('Raw Data'!B4:B123,A15,'Raw Data'!K4:K123)</f>
        <v>12542</v>
      </c>
      <c r="D15" s="25" t="n">
        <f aca="false">COUNTIF('Raw Data'!B4:B123,A15)</f>
        <v>10</v>
      </c>
      <c r="E15" s="24" t="n">
        <f aca="false">IF(D15&gt;0,B15/D15,0)</f>
        <v>3234</v>
      </c>
      <c r="F15" s="28" t="n">
        <f aca="false">IF(B14&gt;0,(B15-B14)/B14,0)</f>
        <v>0.289473684210526</v>
      </c>
    </row>
    <row r="16" customFormat="false" ht="15" hidden="false" customHeight="false" outlineLevel="0" collapsed="false">
      <c r="A16" s="29" t="s">
        <v>37</v>
      </c>
      <c r="B16" s="30" t="n">
        <f aca="false">SUMIF('Raw Data'!B4:B123,A16,'Raw Data'!I4:I123)</f>
        <v>22145</v>
      </c>
      <c r="C16" s="30" t="n">
        <f aca="false">SUMIF('Raw Data'!B4:B123,A16,'Raw Data'!K4:K123)</f>
        <v>8740</v>
      </c>
      <c r="D16" s="31" t="n">
        <f aca="false">COUNTIF('Raw Data'!B4:B123,A16)</f>
        <v>10</v>
      </c>
      <c r="E16" s="30" t="n">
        <f aca="false">IF(D16&gt;0,B16/D16,0)</f>
        <v>2214.5</v>
      </c>
      <c r="F16" s="32" t="n">
        <f aca="false">IF(B15&gt;0,(B16-B15)/B15,0)</f>
        <v>-0.315244279529994</v>
      </c>
    </row>
    <row r="17" customFormat="false" ht="15" hidden="false" customHeight="false" outlineLevel="0" collapsed="false">
      <c r="A17" s="23" t="s">
        <v>42</v>
      </c>
      <c r="B17" s="24" t="n">
        <f aca="false">SUMIF('Raw Data'!B4:B123,A17,'Raw Data'!I4:I123)</f>
        <v>34570</v>
      </c>
      <c r="C17" s="24" t="n">
        <f aca="false">SUMIF('Raw Data'!B4:B123,A17,'Raw Data'!K4:K123)</f>
        <v>13365</v>
      </c>
      <c r="D17" s="25" t="n">
        <f aca="false">COUNTIF('Raw Data'!B4:B123,A17)</f>
        <v>10</v>
      </c>
      <c r="E17" s="24" t="n">
        <f aca="false">IF(D17&gt;0,B17/D17,0)</f>
        <v>3457</v>
      </c>
      <c r="F17" s="28" t="n">
        <f aca="false">IF(B16&gt;0,(B17-B16)/B16,0)</f>
        <v>0.561074734703093</v>
      </c>
    </row>
    <row r="18" customFormat="false" ht="15" hidden="false" customHeight="false" outlineLevel="0" collapsed="false">
      <c r="A18" s="29" t="s">
        <v>45</v>
      </c>
      <c r="B18" s="30" t="n">
        <f aca="false">SUMIF('Raw Data'!B4:B123,A18,'Raw Data'!I4:I123)</f>
        <v>34240</v>
      </c>
      <c r="C18" s="30" t="n">
        <f aca="false">SUMIF('Raw Data'!B4:B123,A18,'Raw Data'!K4:K123)</f>
        <v>13300</v>
      </c>
      <c r="D18" s="31" t="n">
        <f aca="false">COUNTIF('Raw Data'!B4:B123,A18)</f>
        <v>10</v>
      </c>
      <c r="E18" s="30" t="n">
        <f aca="false">IF(D18&gt;0,B18/D18,0)</f>
        <v>3424</v>
      </c>
      <c r="F18" s="32" t="n">
        <f aca="false">IF(B17&gt;0,(B18-B17)/B17,0)</f>
        <v>-0.00954584900202488</v>
      </c>
    </row>
    <row r="19" customFormat="false" ht="15" hidden="false" customHeight="false" outlineLevel="0" collapsed="false">
      <c r="A19" s="23" t="s">
        <v>48</v>
      </c>
      <c r="B19" s="24" t="n">
        <f aca="false">SUMIF('Raw Data'!B4:B123,A19,'Raw Data'!I4:I123)</f>
        <v>15730</v>
      </c>
      <c r="C19" s="24" t="n">
        <f aca="false">SUMIF('Raw Data'!B4:B123,A19,'Raw Data'!K4:K123)</f>
        <v>6195</v>
      </c>
      <c r="D19" s="25" t="n">
        <f aca="false">COUNTIF('Raw Data'!B4:B123,A19)</f>
        <v>10</v>
      </c>
      <c r="E19" s="24" t="n">
        <f aca="false">IF(D19&gt;0,B19/D19,0)</f>
        <v>1573</v>
      </c>
      <c r="F19" s="28" t="n">
        <f aca="false">IF(B18&gt;0,(B19-B18)/B18,0)</f>
        <v>-0.540595794392523</v>
      </c>
    </row>
    <row r="20" customFormat="false" ht="15" hidden="false" customHeight="false" outlineLevel="0" collapsed="false">
      <c r="A20" s="29" t="s">
        <v>51</v>
      </c>
      <c r="B20" s="30" t="n">
        <f aca="false">SUMIF('Raw Data'!B4:B123,A20,'Raw Data'!I4:I123)</f>
        <v>22875</v>
      </c>
      <c r="C20" s="30" t="n">
        <f aca="false">SUMIF('Raw Data'!B4:B123,A20,'Raw Data'!K4:K123)</f>
        <v>9155</v>
      </c>
      <c r="D20" s="31" t="n">
        <f aca="false">COUNTIF('Raw Data'!B4:B123,A20)</f>
        <v>10</v>
      </c>
      <c r="E20" s="30" t="n">
        <f aca="false">IF(D20&gt;0,B20/D20,0)</f>
        <v>2287.5</v>
      </c>
      <c r="F20" s="32" t="n">
        <f aca="false">IF(B19&gt;0,(B20-B19)/B19,0)</f>
        <v>0.454227590591227</v>
      </c>
    </row>
    <row r="21" customFormat="false" ht="15" hidden="false" customHeight="false" outlineLevel="0" collapsed="false">
      <c r="A21" s="23" t="s">
        <v>54</v>
      </c>
      <c r="B21" s="24" t="n">
        <f aca="false">SUMIF('Raw Data'!B4:B123,A21,'Raw Data'!I4:I123)</f>
        <v>19320</v>
      </c>
      <c r="C21" s="24" t="n">
        <f aca="false">SUMIF('Raw Data'!B4:B123,A21,'Raw Data'!K4:K123)</f>
        <v>7492</v>
      </c>
      <c r="D21" s="25" t="n">
        <f aca="false">COUNTIF('Raw Data'!B4:B123,A21)</f>
        <v>10</v>
      </c>
      <c r="E21" s="24" t="n">
        <f aca="false">IF(D21&gt;0,B21/D21,0)</f>
        <v>1932</v>
      </c>
      <c r="F21" s="28" t="n">
        <f aca="false">IF(B20&gt;0,(B21-B20)/B20,0)</f>
        <v>-0.155409836065574</v>
      </c>
    </row>
    <row r="22" customFormat="false" ht="15" hidden="false" customHeight="false" outlineLevel="0" collapsed="false">
      <c r="A22" s="29" t="s">
        <v>56</v>
      </c>
      <c r="B22" s="30" t="n">
        <f aca="false">SUMIF('Raw Data'!B4:B123,A22,'Raw Data'!I4:I123)</f>
        <v>18870</v>
      </c>
      <c r="C22" s="30" t="n">
        <f aca="false">SUMIF('Raw Data'!B4:B123,A22,'Raw Data'!K4:K123)</f>
        <v>7597</v>
      </c>
      <c r="D22" s="31" t="n">
        <f aca="false">COUNTIF('Raw Data'!B4:B123,A22)</f>
        <v>10</v>
      </c>
      <c r="E22" s="30" t="n">
        <f aca="false">IF(D22&gt;0,B22/D22,0)</f>
        <v>1887</v>
      </c>
      <c r="F22" s="32" t="n">
        <f aca="false">IF(B21&gt;0,(B22-B21)/B21,0)</f>
        <v>-0.0232919254658385</v>
      </c>
    </row>
    <row r="23" customFormat="false" ht="15" hidden="false" customHeight="false" outlineLevel="0" collapsed="false">
      <c r="A23" s="34" t="s">
        <v>187</v>
      </c>
      <c r="B23" s="35" t="n">
        <f aca="false">SUM(B11:B22)</f>
        <v>294100</v>
      </c>
      <c r="C23" s="35" t="n">
        <f aca="false">SUM(C11:C22)</f>
        <v>115610</v>
      </c>
      <c r="D23" s="36" t="n">
        <f aca="false">SUM(D11:D22)</f>
        <v>120</v>
      </c>
      <c r="E23" s="35" t="n">
        <f aca="false">AVERAGE(E11:E22)</f>
        <v>2450.83333333333</v>
      </c>
      <c r="F23" s="37"/>
    </row>
  </sheetData>
  <mergeCells count="12">
    <mergeCell ref="A1:L1"/>
    <mergeCell ref="A2:L2"/>
    <mergeCell ref="A4:C4"/>
    <mergeCell ref="D4:F4"/>
    <mergeCell ref="G4:I4"/>
    <mergeCell ref="J4:L4"/>
    <mergeCell ref="A5:C7"/>
    <mergeCell ref="D5:F7"/>
    <mergeCell ref="G5:I7"/>
    <mergeCell ref="J5:L7"/>
    <mergeCell ref="A9:F9"/>
    <mergeCell ref="H9:L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2026-03-22T17:57:59Z</dcterms:created>
  <dc:creator>openpyxl</dc:creator>
  <dc:description/>
  <dc:language>en-US</dc:language>
  <cp:lastModifiedBy/>
  <dcterms:modified xsi:type="dcterms:W3CDTF">2026-03-22T17:59:01Z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