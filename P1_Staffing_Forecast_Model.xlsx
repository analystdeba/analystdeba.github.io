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ssumptions" sheetId="2" state="visible" r:id="rId4"/>
    <sheet name="Weekly Forecast" sheetId="3" state="visible" r:id="rId5"/>
    <sheet name="Monthly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<sst xmlns="http://schemas.openxmlformats.org/spreadsheetml/2006/main" count="96" uniqueCount="77">
  <si>
    <t xml:space="preserve">📋  WFM STAFFING FORECAST MODEL — USER GUIDE</t>
  </si>
  <si>
    <t xml:space="preserve">OVERVIEW</t>
  </si>
  <si>
    <t xml:space="preserve">This model calculates required staffing for a call center based on volume, AHT, and shrinkage.</t>
  </si>
  <si>
    <t xml:space="preserve">SHEET: Assumptions</t>
  </si>
  <si>
    <t xml:space="preserve">Enter your key inputs here — call volume, AHT, target occupancy, and shrinkage %.</t>
  </si>
  <si>
    <t xml:space="preserve">SHEET: Weekly Forecast</t>
  </si>
  <si>
    <t xml:space="preserve">Auto-calculated weekly staffing requirements. Blue cells = inputs you can edit.</t>
  </si>
  <si>
    <t xml:space="preserve">SHEET: Monthly Summary</t>
  </si>
  <si>
    <t xml:space="preserve">Auto-aggregated monthly view with charts for management reporting.</t>
  </si>
  <si>
    <t xml:space="preserve">COLOR GUIDE</t>
  </si>
  <si>
    <t xml:space="preserve">🔵 Blue text = Input cells  |  ⚫ Black text = Formulas  |  🟡 Yellow = Key assumptions</t>
  </si>
  <si>
    <t xml:space="preserve">HOW TO USE</t>
  </si>
  <si>
    <t xml:space="preserve">1) Go to Assumptions tab → fill in your data  2) Weekly Forecast auto-updates  3) Share Monthly Summary with management</t>
  </si>
  <si>
    <t xml:space="preserve">⚙️  KEY ASSUMPTIONS — STAFFING FORECAST MODEL</t>
  </si>
  <si>
    <t xml:space="preserve">Parameter</t>
  </si>
  <si>
    <t xml:space="preserve">Value</t>
  </si>
  <si>
    <t xml:space="preserve">Notes</t>
  </si>
  <si>
    <t xml:space="preserve">Target Service Level (%)</t>
  </si>
  <si>
    <t xml:space="preserve">% of calls answered within threshold</t>
  </si>
  <si>
    <t xml:space="preserve">Service Level Threshold (sec)</t>
  </si>
  <si>
    <t xml:space="preserve">Calls answered within X seconds</t>
  </si>
  <si>
    <t xml:space="preserve">Average Handle Time - AHT (min)</t>
  </si>
  <si>
    <t xml:space="preserve">Average call duration including wrap-up</t>
  </si>
  <si>
    <t xml:space="preserve">Shrinkage (%)</t>
  </si>
  <si>
    <t xml:space="preserve">Breaks, training, absenteeism, etc.</t>
  </si>
  <si>
    <t xml:space="preserve">Occupancy Target (%)</t>
  </si>
  <si>
    <t xml:space="preserve">Max agent utilization rate</t>
  </si>
  <si>
    <t xml:space="preserve">Operating Hours per Shift</t>
  </si>
  <si>
    <t xml:space="preserve">Hours per shift</t>
  </si>
  <si>
    <t xml:space="preserve">Days per Week (Operating)</t>
  </si>
  <si>
    <t xml:space="preserve">Days the center operates</t>
  </si>
  <si>
    <t xml:space="preserve">Peak Hour Factor</t>
  </si>
  <si>
    <t xml:space="preserve">Multiplier for peak hour volume</t>
  </si>
  <si>
    <t xml:space="preserve">✏️  Edit the blue cells above. All forecast sheets update automatically.</t>
  </si>
  <si>
    <t xml:space="preserve">📅  WEEKLY STAFFING FORECAST</t>
  </si>
  <si>
    <t xml:space="preserve">Week</t>
  </si>
  <si>
    <t xml:space="preserve">Day</t>
  </si>
  <si>
    <t xml:space="preserve">Forecasted Calls</t>
  </si>
  <si>
    <t xml:space="preserve">AHT (min)</t>
  </si>
  <si>
    <t xml:space="preserve">Total Work Min</t>
  </si>
  <si>
    <t xml:space="preserve">Required Agents (Raw)</t>
  </si>
  <si>
    <t xml:space="preserve">Shrinkage Adj.</t>
  </si>
  <si>
    <t xml:space="preserve">Required Agents (Final)</t>
  </si>
  <si>
    <t xml:space="preserve">Coverage Status</t>
  </si>
  <si>
    <t xml:space="preserve">Week 1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</si>
  <si>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</si>
  <si>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</si>
  <si>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</si>
  <si>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</si>
  <si>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</si>
  <si>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</si>
  <si>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</si>
  <si>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Week 1 Total</t>
  </si>
  <si>
    <t xml:space="preserve">Week 2</t>
  </si>
  <si>
    <t xml:space="preserve">Week 2 Total</t>
  </si>
  <si>
    <t xml:space="preserve">📊  MONTHLY STAFFING SUMMARY REPORT</t>
  </si>
  <si>
    <t xml:space="preserve">Month</t>
  </si>
  <si>
    <t xml:space="preserve">Forecasted Volume</t>
  </si>
  <si>
    <t xml:space="preserve">Req. Agents</t>
  </si>
  <si>
    <t xml:space="preserve">Avg AHT (min)</t>
  </si>
  <si>
    <t xml:space="preserve">SLA Target (%)</t>
  </si>
  <si>
    <t xml:space="preserve">Est. Shrinkage (%)</t>
  </si>
  <si>
    <t xml:space="preserve">Workload Hours</t>
  </si>
  <si>
    <t xml:space="preserve">Status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</si>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</sst>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"/>
    <numFmt numFmtId="167" formatCode="#,##0"/>
    <numFmt numFmtId="168" formatCode="General"/>
    <numFmt numFmtId="169" formatCode="0"/>
    <numFmt numFmtId="170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A7EBB"/>
      </patternFill>
    </fill>
    <fill>
      <patternFill patternType="solid">
        <fgColor rgb="FFDEEAF1"/>
        <bgColor rgb="FFEBF3FB"/>
      </patternFill>
    </fill>
    <fill>
      <patternFill patternType="solid">
        <fgColor rgb="FFEBF3FB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4F81BD"/>
      <rgbColor rgb="FF003366"/>
      <rgbColor rgb="FF4A7EBB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Call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Summary'!B3</c:f>
              <c:strCache>
                <c:ptCount val="1"/>
                <c:pt idx="0">
                  <c:v>Forecasted Volume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Summary'!$B$4:$B$15</c:f>
              <c:numCache>
                <c:formatCode>#,##0</c:formatCode>
                <c:ptCount val="12"/>
                <c:pt idx="0">
                  <c:v>28000</c:v>
                </c:pt>
                <c:pt idx="1">
                  <c:v>26500</c:v>
                </c:pt>
                <c:pt idx="2">
                  <c:v>31000</c:v>
                </c:pt>
                <c:pt idx="3">
                  <c:v>29500</c:v>
                </c:pt>
                <c:pt idx="4">
                  <c:v>33000</c:v>
                </c:pt>
                <c:pt idx="5">
                  <c:v>34500</c:v>
                </c:pt>
                <c:pt idx="6">
                  <c:v>36000</c:v>
                </c:pt>
                <c:pt idx="7">
                  <c:v>35000</c:v>
                </c:pt>
                <c:pt idx="8">
                  <c:v>30000</c:v>
                </c:pt>
                <c:pt idx="9">
                  <c:v>28500</c:v>
                </c:pt>
                <c:pt idx="10">
                  <c:v>32000</c:v>
                </c:pt>
                <c:pt idx="11">
                  <c:v>38000</c:v>
                </c:pt>
              </c:numCache>
            </c:numRef>
          </c:val>
        </c:ser>
        <c:gapWidth val="150"/>
        <c:overlap val="0"/>
        <c:axId val="47696076"/>
        <c:axId val="4000387"/>
      </c:barChart>
      <c:catAx>
        <c:axId val="476960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0387"/>
        <c:crosses val="autoZero"/>
        <c:auto val="1"/>
        <c:lblAlgn val="ctr"/>
        <c:lblOffset val="100"/>
        <c:noMultiLvlLbl val="0"/>
      </c:catAx>
      <c:valAx>
        <c:axId val="40003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Calls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960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Required Agents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Summary'!C3</c:f>
              <c:strCache>
                <c:ptCount val="1"/>
                <c:pt idx="0">
                  <c:v>Req. Agents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Summary'!$C$4:$C$15</c:f>
              <c:numCache>
                <c:formatCode>General</c:formatCode>
                <c:ptCount val="12"/>
                <c:pt idx="0">
                  <c:v>22</c:v>
                </c:pt>
                <c:pt idx="1">
                  <c:v>21</c:v>
                </c:pt>
                <c:pt idx="2">
                  <c:v>24</c:v>
                </c:pt>
                <c:pt idx="3">
                  <c:v>23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27</c:v>
                </c:pt>
                <c:pt idx="8">
                  <c:v>24</c:v>
                </c:pt>
                <c:pt idx="9">
                  <c:v>22</c:v>
                </c:pt>
                <c:pt idx="10">
                  <c:v>25</c:v>
                </c:pt>
                <c:pt idx="11">
                  <c:v>30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207963"/>
        <c:axId val="19288070"/>
      </c:lineChart>
      <c:catAx>
        <c:axId val="532079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88070"/>
        <c:crosses val="autoZero"/>
        <c:auto val="1"/>
        <c:lblAlgn val="ctr"/>
        <c:lblOffset val="100"/>
        <c:noMultiLvlLbl val="0"/>
      </c:catAx>
      <c:valAx>
        <c:axId val="192880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079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230760</xdr:rowOff>
    </xdr:from>
    <xdr:to>
      <xdr:col>5</xdr:col>
      <xdr:colOff>1263600</xdr:colOff>
      <xdr:row>38</xdr:row>
      <xdr:rowOff>18360</xdr:rowOff>
    </xdr:to>
    <xdr:graphicFrame>
      <xdr:nvGraphicFramePr>
        <xdr:cNvPr id="0" name="Chart 1"/>
        <xdr:cNvGraphicFramePr/>
      </xdr:nvGraphicFramePr>
      <xdr:xfrm>
        <a:off x="0" y="35053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15</xdr:row>
      <xdr:rowOff>230760</xdr:rowOff>
    </xdr:from>
    <xdr:to>
      <xdr:col>19</xdr:col>
      <xdr:colOff>364680</xdr:colOff>
      <xdr:row>38</xdr:row>
      <xdr:rowOff>18360</xdr:rowOff>
    </xdr:to>
    <xdr:graphicFrame>
      <xdr:nvGraphicFramePr>
        <xdr:cNvPr id="1" name="Chart 2"/>
        <xdr:cNvGraphicFramePr/>
      </xdr:nvGraphicFramePr>
      <xdr:xfrm>
        <a:off x="9281160" y="35053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5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30" hidden="false" customHeight="true" outlineLevel="0" collapsed="false">
      <c r="A6" s="2" t="s">
        <v>7</v>
      </c>
      <c r="B6" s="3" t="s">
        <v>8</v>
      </c>
    </row>
    <row r="7" customFormat="false" ht="30" hidden="false" customHeight="true" outlineLevel="0" collapsed="false">
      <c r="A7" s="2" t="s">
        <v>9</v>
      </c>
      <c r="B7" s="3" t="s">
        <v>10</v>
      </c>
    </row>
    <row r="8" customFormat="false" ht="30" hidden="false" customHeight="true" outlineLevel="0" collapsed="false">
      <c r="A8" s="2" t="s">
        <v>11</v>
      </c>
      <c r="B8" s="3" t="s">
        <v>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3" min="3" style="0" width="45"/>
  </cols>
  <sheetData>
    <row r="1" customFormat="false" ht="36" hidden="false" customHeight="true" outlineLevel="0" collapsed="false">
      <c r="A1" s="4" t="s">
        <v>13</v>
      </c>
      <c r="B1" s="4"/>
      <c r="C1" s="4"/>
    </row>
    <row r="3" customFormat="false" ht="15" hidden="false" customHeight="false" outlineLevel="0" collapsed="false">
      <c r="A3" s="5" t="s">
        <v>14</v>
      </c>
      <c r="B3" s="5" t="s">
        <v>15</v>
      </c>
      <c r="C3" s="5" t="s">
        <v>16</v>
      </c>
    </row>
    <row r="4" customFormat="false" ht="15" hidden="false" customHeight="false" outlineLevel="0" collapsed="false">
      <c r="A4" s="6" t="s">
        <v>17</v>
      </c>
      <c r="B4" s="7" t="n">
        <v>0.8</v>
      </c>
      <c r="C4" s="8" t="s">
        <v>18</v>
      </c>
    </row>
    <row r="5" customFormat="false" ht="15" hidden="false" customHeight="false" outlineLevel="0" collapsed="false">
      <c r="A5" s="9" t="s">
        <v>19</v>
      </c>
      <c r="B5" s="10" t="n">
        <v>20</v>
      </c>
      <c r="C5" s="11" t="s">
        <v>20</v>
      </c>
    </row>
    <row r="6" customFormat="false" ht="15" hidden="false" customHeight="false" outlineLevel="0" collapsed="false">
      <c r="A6" s="6" t="s">
        <v>21</v>
      </c>
      <c r="B6" s="12" t="n">
        <v>6.5</v>
      </c>
      <c r="C6" s="8" t="s">
        <v>22</v>
      </c>
    </row>
    <row r="7" customFormat="false" ht="15" hidden="false" customHeight="false" outlineLevel="0" collapsed="false">
      <c r="A7" s="9" t="s">
        <v>23</v>
      </c>
      <c r="B7" s="13" t="n">
        <v>0.3</v>
      </c>
      <c r="C7" s="11" t="s">
        <v>24</v>
      </c>
    </row>
    <row r="8" customFormat="false" ht="15" hidden="false" customHeight="false" outlineLevel="0" collapsed="false">
      <c r="A8" s="6" t="s">
        <v>25</v>
      </c>
      <c r="B8" s="7" t="n">
        <v>0.85</v>
      </c>
      <c r="C8" s="8" t="s">
        <v>26</v>
      </c>
    </row>
    <row r="9" customFormat="false" ht="15" hidden="false" customHeight="false" outlineLevel="0" collapsed="false">
      <c r="A9" s="9" t="s">
        <v>27</v>
      </c>
      <c r="B9" s="10" t="n">
        <v>8</v>
      </c>
      <c r="C9" s="11" t="s">
        <v>28</v>
      </c>
    </row>
    <row r="10" customFormat="false" ht="15" hidden="false" customHeight="false" outlineLevel="0" collapsed="false">
      <c r="A10" s="6" t="s">
        <v>29</v>
      </c>
      <c r="B10" s="12" t="n">
        <v>7</v>
      </c>
      <c r="C10" s="8" t="s">
        <v>30</v>
      </c>
    </row>
    <row r="11" customFormat="false" ht="15" hidden="false" customHeight="false" outlineLevel="0" collapsed="false">
      <c r="A11" s="9" t="s">
        <v>31</v>
      </c>
      <c r="B11" s="10" t="n">
        <v>1.25</v>
      </c>
      <c r="C11" s="11" t="s">
        <v>32</v>
      </c>
    </row>
    <row r="13" customFormat="false" ht="15" hidden="false" customHeight="false" outlineLevel="0" collapsed="false">
      <c r="A13" s="14" t="s">
        <v>33</v>
      </c>
      <c r="B13" s="14"/>
      <c r="C13" s="14"/>
    </row>
  </sheetData>
  <mergeCells count="2">
    <mergeCell ref="A1:C1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8"/>
  </cols>
  <sheetData>
    <row r="1" customFormat="false" ht="36" hidden="false" customHeight="true" outlineLevel="0" collapsed="false">
      <c r="A1" s="4" t="s">
        <v>34</v>
      </c>
      <c r="B1" s="4"/>
      <c r="C1" s="4"/>
      <c r="D1" s="4"/>
      <c r="E1" s="4"/>
      <c r="F1" s="4"/>
      <c r="G1" s="4"/>
      <c r="H1" s="4"/>
      <c r="I1" s="4"/>
    </row>
    <row r="3" customFormat="false" ht="30" hidden="false" customHeight="true" outlineLevel="0" collapsed="false">
      <c r="A3" s="15" t="s">
        <v>35</v>
      </c>
      <c r="B3" s="15" t="s">
        <v>36</v>
      </c>
      <c r="C3" s="15" t="s">
        <v>37</v>
      </c>
      <c r="D3" s="15" t="s">
        <v>38</v>
      </c>
      <c r="E3" s="15" t="s">
        <v>39</v>
      </c>
      <c r="F3" s="15" t="s">
        <v>40</v>
      </c>
      <c r="G3" s="15" t="s">
        <v>41</v>
      </c>
      <c r="H3" s="15" t="s">
        <v>42</v>
      </c>
      <c r="I3" s="15" t="s">
        <v>43</v>
      </c>
    </row>
    <row r="4" customFormat="false" ht="15" hidden="false" customHeight="false" outlineLevel="0" collapsed="false">
      <c r="A4" s="16" t="s">
        <v>44</v>
      </c>
      <c r="B4" s="17" t="s">
        <v>45</v>
      </c>
      <c r="C4" s="12" t="n">
        <v>320</v>
      </c>
      <c r="D4" s="18" t="n">
        <f aca="false">Assumptions!B5</f>
        <v>20</v>
      </c>
      <c r="E4" s="19" t="n">
        <f aca="false">C4*D4</f>
        <v>6400</v>
      </c>
      <c r="F4" s="20" t="n">
        <f aca="false">CEILING(E4/(Assumptions!B6*60*Assumptions!B8),1)</f>
        <v>20</v>
      </c>
      <c r="G4" s="21" t="n">
        <f aca="false">CEILING(F4/(1-Assumptions!B6),1)</f>
        <v>-3</v>
      </c>
      <c r="H4" s="22" t="n">
        <f aca="false">G4</f>
        <v>-3</v>
      </c>
      <c r="I4" s="20" t="str">
        <f aca="false">IF(H4&lt;=20,"✅ Normal",IF(H4&lt;=30,"⚠️ High","🔴 Critical"))</f>
        <v>✅ Normal</v>
      </c>
    </row>
    <row r="5" customFormat="false" ht="15" hidden="false" customHeight="false" outlineLevel="0" collapsed="false">
      <c r="A5" s="16" t="s">
        <v>44</v>
      </c>
      <c r="B5" s="23" t="s">
        <v>46</v>
      </c>
      <c r="C5" s="10" t="n">
        <v>350</v>
      </c>
      <c r="D5" s="24" t="n">
        <f aca="false">Assumptions!B5</f>
        <v>20</v>
      </c>
      <c r="E5" s="25" t="n">
        <f aca="false">C5*D5</f>
        <v>7000</v>
      </c>
      <c r="F5" s="26" t="n">
        <f aca="false">CEILING(E5/(Assumptions!B6*60*Assumptions!B8),1)</f>
        <v>22</v>
      </c>
      <c r="G5" s="27" t="n">
        <f aca="false">CEILING(F5/(1-Assumptions!B6),1)</f>
        <v>-4</v>
      </c>
      <c r="H5" s="28" t="n">
        <f aca="false">G5</f>
        <v>-4</v>
      </c>
      <c r="I5" s="26" t="str">
        <f aca="false">IF(H5&lt;=20,"✅ Normal",IF(H5&lt;=30,"⚠️ High","🔴 Critical"))</f>
        <v>✅ Normal</v>
      </c>
    </row>
    <row r="6" customFormat="false" ht="15" hidden="false" customHeight="false" outlineLevel="0" collapsed="false">
      <c r="A6" s="16" t="s">
        <v>44</v>
      </c>
      <c r="B6" s="17" t="s">
        <v>47</v>
      </c>
      <c r="C6" s="12" t="n">
        <v>380</v>
      </c>
      <c r="D6" s="18" t="n">
        <f aca="false">Assumptions!B5</f>
        <v>20</v>
      </c>
      <c r="E6" s="19" t="n">
        <f aca="false">C6*D6</f>
        <v>7600</v>
      </c>
      <c r="F6" s="20" t="n">
        <f aca="false">CEILING(E6/(Assumptions!B6*60*Assumptions!B8),1)</f>
        <v>23</v>
      </c>
      <c r="G6" s="21" t="n">
        <f aca="false">CEILING(F6/(1-Assumptions!B6),1)</f>
        <v>-4</v>
      </c>
      <c r="H6" s="22" t="n">
        <f aca="false">G6</f>
        <v>-4</v>
      </c>
      <c r="I6" s="20" t="str">
        <f aca="false">IF(H6&lt;=20,"✅ Normal",IF(H6&lt;=30,"⚠️ High","🔴 Critical"))</f>
        <v>✅ Normal</v>
      </c>
    </row>
    <row r="7" customFormat="false" ht="15" hidden="false" customHeight="false" outlineLevel="0" collapsed="false">
      <c r="A7" s="16" t="s">
        <v>44</v>
      </c>
      <c r="B7" s="23" t="s">
        <v>48</v>
      </c>
      <c r="C7" s="10" t="n">
        <v>360</v>
      </c>
      <c r="D7" s="24" t="n">
        <f aca="false">Assumptions!B5</f>
        <v>20</v>
      </c>
      <c r="E7" s="25" t="n">
        <f aca="false">C7*D7</f>
        <v>7200</v>
      </c>
      <c r="F7" s="26" t="n">
        <f aca="false">CEILING(E7/(Assumptions!B6*60*Assumptions!B8),1)</f>
        <v>22</v>
      </c>
      <c r="G7" s="27" t="n">
        <f aca="false">CEILING(F7/(1-Assumptions!B6),1)</f>
        <v>-4</v>
      </c>
      <c r="H7" s="28" t="n">
        <f aca="false">G7</f>
        <v>-4</v>
      </c>
      <c r="I7" s="26" t="str">
        <f aca="false">IF(H7&lt;=20,"✅ Normal",IF(H7&lt;=30,"⚠️ High","🔴 Critical"))</f>
        <v>✅ Normal</v>
      </c>
    </row>
    <row r="8" customFormat="false" ht="15" hidden="false" customHeight="false" outlineLevel="0" collapsed="false">
      <c r="A8" s="16" t="s">
        <v>44</v>
      </c>
      <c r="B8" s="17" t="s">
        <v>49</v>
      </c>
      <c r="C8" s="12" t="n">
        <v>300</v>
      </c>
      <c r="D8" s="18" t="n">
        <f aca="false">Assumptions!B5</f>
        <v>20</v>
      </c>
      <c r="E8" s="19" t="n">
        <f aca="false">C8*D8</f>
        <v>6000</v>
      </c>
      <c r="F8" s="20" t="n">
        <f aca="false">CEILING(E8/(Assumptions!B6*60*Assumptions!B8),1)</f>
        <v>19</v>
      </c>
      <c r="G8" s="21" t="n">
        <f aca="false">CEILING(F8/(1-Assumptions!B6),1)</f>
        <v>-3</v>
      </c>
      <c r="H8" s="22" t="n">
        <f aca="false">G8</f>
        <v>-3</v>
      </c>
      <c r="I8" s="20" t="str">
        <f aca="false">IF(H8&lt;=20,"✅ Normal",IF(H8&lt;=30,"⚠️ High","🔴 Critical"))</f>
        <v>✅ Normal</v>
      </c>
    </row>
    <row r="9" customFormat="false" ht="15" hidden="false" customHeight="false" outlineLevel="0" collapsed="false">
      <c r="A9" s="16" t="s">
        <v>44</v>
      </c>
      <c r="B9" s="23" t="s">
        <v>50</v>
      </c>
      <c r="C9" s="10" t="n">
        <v>180</v>
      </c>
      <c r="D9" s="24" t="n">
        <f aca="false">Assumptions!B5</f>
        <v>20</v>
      </c>
      <c r="E9" s="25" t="n">
        <f aca="false">C9*D9</f>
        <v>3600</v>
      </c>
      <c r="F9" s="26" t="n">
        <f aca="false">CEILING(E9/(Assumptions!B6*60*Assumptions!B8),1)</f>
        <v>11</v>
      </c>
      <c r="G9" s="27" t="n">
        <f aca="false">CEILING(F9/(1-Assumptions!B6),1)</f>
        <v>-2</v>
      </c>
      <c r="H9" s="28" t="n">
        <f aca="false">G9</f>
        <v>-2</v>
      </c>
      <c r="I9" s="26" t="str">
        <f aca="false">IF(H9&lt;=20,"✅ Normal",IF(H9&lt;=30,"⚠️ High","🔴 Critical"))</f>
        <v>✅ Normal</v>
      </c>
    </row>
    <row r="10" customFormat="false" ht="15" hidden="false" customHeight="false" outlineLevel="0" collapsed="false">
      <c r="A10" s="16" t="s">
        <v>44</v>
      </c>
      <c r="B10" s="17" t="s">
        <v>51</v>
      </c>
      <c r="C10" s="12" t="n">
        <v>150</v>
      </c>
      <c r="D10" s="18" t="n">
        <f aca="false">Assumptions!B5</f>
        <v>20</v>
      </c>
      <c r="E10" s="19" t="n">
        <f aca="false">C10*D10</f>
        <v>3000</v>
      </c>
      <c r="F10" s="20" t="n">
        <f aca="false">CEILING(E10/(Assumptions!B6*60*Assumptions!B8),1)</f>
        <v>10</v>
      </c>
      <c r="G10" s="21" t="n">
        <f aca="false">CEILING(F10/(1-Assumptions!B6),1)</f>
        <v>-1</v>
      </c>
      <c r="H10" s="22" t="n">
        <f aca="false">G10</f>
        <v>-1</v>
      </c>
      <c r="I10" s="20" t="str">
        <f aca="false">IF(H10&lt;=20,"✅ Normal",IF(H10&lt;=30,"⚠️ High","🔴 Critical"))</f>
        <v>✅ Normal</v>
      </c>
    </row>
    <row r="11" customFormat="false" ht="15" hidden="false" customHeight="true" outlineLevel="0" collapsed="false">
      <c r="A11" s="29" t="s">
        <v>52</v>
      </c>
      <c r="B11" s="29"/>
      <c r="C11" s="30" t="n">
        <f aca="false">SUM(C4:C10)</f>
        <v>2040</v>
      </c>
      <c r="D11" s="30" t="n">
        <f aca="false">SUM(D4:D10)</f>
        <v>140</v>
      </c>
      <c r="E11" s="30" t="n">
        <f aca="false">SUM(E4:E10)</f>
        <v>40800</v>
      </c>
      <c r="F11" s="30" t="n">
        <f aca="false">SUM(F4:F10)</f>
        <v>127</v>
      </c>
      <c r="G11" s="30" t="n">
        <f aca="false">SUM(G4:G10)</f>
        <v>-21</v>
      </c>
      <c r="H11" s="30" t="n">
        <f aca="false">SUM(H4:H10)</f>
        <v>-21</v>
      </c>
      <c r="I11" s="31"/>
    </row>
    <row r="12" customFormat="false" ht="15" hidden="false" customHeight="false" outlineLevel="0" collapsed="false">
      <c r="A12" s="16" t="s">
        <v>53</v>
      </c>
      <c r="B12" s="17" t="s">
        <v>45</v>
      </c>
      <c r="C12" s="12" t="n">
        <v>340</v>
      </c>
      <c r="D12" s="18" t="n">
        <f aca="false">Assumptions!B5</f>
        <v>20</v>
      </c>
      <c r="E12" s="19" t="n">
        <f aca="false">C12*D12</f>
        <v>6800</v>
      </c>
      <c r="F12" s="20" t="n">
        <f aca="false">CEILING(E12/(Assumptions!B6*60*Assumptions!B8),1)</f>
        <v>21</v>
      </c>
      <c r="G12" s="21" t="n">
        <f aca="false">CEILING(F12/(1-Assumptions!B6),1)</f>
        <v>-3</v>
      </c>
      <c r="H12" s="22" t="n">
        <f aca="false">G12</f>
        <v>-3</v>
      </c>
      <c r="I12" s="20" t="str">
        <f aca="false">IF(H12&lt;=20,"✅ Normal",IF(H12&lt;=30,"⚠️ High","🔴 Critical"))</f>
        <v>✅ Normal</v>
      </c>
    </row>
    <row r="13" customFormat="false" ht="15" hidden="false" customHeight="false" outlineLevel="0" collapsed="false">
      <c r="A13" s="16" t="s">
        <v>53</v>
      </c>
      <c r="B13" s="23" t="s">
        <v>46</v>
      </c>
      <c r="C13" s="10" t="n">
        <v>370</v>
      </c>
      <c r="D13" s="24" t="n">
        <f aca="false">Assumptions!B5</f>
        <v>20</v>
      </c>
      <c r="E13" s="25" t="n">
        <f aca="false">C13*D13</f>
        <v>7400</v>
      </c>
      <c r="F13" s="26" t="n">
        <f aca="false">CEILING(E13/(Assumptions!B6*60*Assumptions!B8),1)</f>
        <v>23</v>
      </c>
      <c r="G13" s="27" t="n">
        <f aca="false">CEILING(F13/(1-Assumptions!B6),1)</f>
        <v>-4</v>
      </c>
      <c r="H13" s="28" t="n">
        <f aca="false">G13</f>
        <v>-4</v>
      </c>
      <c r="I13" s="26" t="str">
        <f aca="false">IF(H13&lt;=20,"✅ Normal",IF(H13&lt;=30,"⚠️ High","🔴 Critical"))</f>
        <v>✅ Normal</v>
      </c>
    </row>
    <row r="14" customFormat="false" ht="15" hidden="false" customHeight="false" outlineLevel="0" collapsed="false">
      <c r="A14" s="16" t="s">
        <v>53</v>
      </c>
      <c r="B14" s="17" t="s">
        <v>47</v>
      </c>
      <c r="C14" s="12" t="n">
        <v>400</v>
      </c>
      <c r="D14" s="18" t="n">
        <f aca="false">Assumptions!B5</f>
        <v>20</v>
      </c>
      <c r="E14" s="19" t="n">
        <f aca="false">C14*D14</f>
        <v>8000</v>
      </c>
      <c r="F14" s="20" t="n">
        <f aca="false">CEILING(E14/(Assumptions!B6*60*Assumptions!B8),1)</f>
        <v>25</v>
      </c>
      <c r="G14" s="21" t="n">
        <f aca="false">CEILING(F14/(1-Assumptions!B6),1)</f>
        <v>-4</v>
      </c>
      <c r="H14" s="22" t="n">
        <f aca="false">G14</f>
        <v>-4</v>
      </c>
      <c r="I14" s="20" t="str">
        <f aca="false">IF(H14&lt;=20,"✅ Normal",IF(H14&lt;=30,"⚠️ High","🔴 Critical"))</f>
        <v>✅ Normal</v>
      </c>
    </row>
    <row r="15" customFormat="false" ht="15" hidden="false" customHeight="false" outlineLevel="0" collapsed="false">
      <c r="A15" s="16" t="s">
        <v>53</v>
      </c>
      <c r="B15" s="23" t="s">
        <v>48</v>
      </c>
      <c r="C15" s="10" t="n">
        <v>380</v>
      </c>
      <c r="D15" s="24" t="n">
        <f aca="false">Assumptions!B5</f>
        <v>20</v>
      </c>
      <c r="E15" s="25" t="n">
        <f aca="false">C15*D15</f>
        <v>7600</v>
      </c>
      <c r="F15" s="26" t="n">
        <f aca="false">CEILING(E15/(Assumptions!B6*60*Assumptions!B8),1)</f>
        <v>23</v>
      </c>
      <c r="G15" s="27" t="n">
        <f aca="false">CEILING(F15/(1-Assumptions!B6),1)</f>
        <v>-4</v>
      </c>
      <c r="H15" s="28" t="n">
        <f aca="false">G15</f>
        <v>-4</v>
      </c>
      <c r="I15" s="26" t="str">
        <f aca="false">IF(H15&lt;=20,"✅ Normal",IF(H15&lt;=30,"⚠️ High","🔴 Critical"))</f>
        <v>✅ Normal</v>
      </c>
    </row>
    <row r="16" customFormat="false" ht="15" hidden="false" customHeight="false" outlineLevel="0" collapsed="false">
      <c r="A16" s="16" t="s">
        <v>53</v>
      </c>
      <c r="B16" s="17" t="s">
        <v>49</v>
      </c>
      <c r="C16" s="12" t="n">
        <v>320</v>
      </c>
      <c r="D16" s="18" t="n">
        <f aca="false">Assumptions!B5</f>
        <v>20</v>
      </c>
      <c r="E16" s="19" t="n">
        <f aca="false">C16*D16</f>
        <v>6400</v>
      </c>
      <c r="F16" s="20" t="n">
        <f aca="false">CEILING(E16/(Assumptions!B6*60*Assumptions!B8),1)</f>
        <v>20</v>
      </c>
      <c r="G16" s="21" t="n">
        <f aca="false">CEILING(F16/(1-Assumptions!B6),1)</f>
        <v>-3</v>
      </c>
      <c r="H16" s="22" t="n">
        <f aca="false">G16</f>
        <v>-3</v>
      </c>
      <c r="I16" s="20" t="str">
        <f aca="false">IF(H16&lt;=20,"✅ Normal",IF(H16&lt;=30,"⚠️ High","🔴 Critical"))</f>
        <v>✅ Normal</v>
      </c>
    </row>
    <row r="17" customFormat="false" ht="15" hidden="false" customHeight="false" outlineLevel="0" collapsed="false">
      <c r="A17" s="16" t="s">
        <v>53</v>
      </c>
      <c r="B17" s="23" t="s">
        <v>50</v>
      </c>
      <c r="C17" s="10" t="n">
        <v>200</v>
      </c>
      <c r="D17" s="24" t="n">
        <f aca="false">Assumptions!B5</f>
        <v>20</v>
      </c>
      <c r="E17" s="25" t="n">
        <f aca="false">C17*D17</f>
        <v>4000</v>
      </c>
      <c r="F17" s="26" t="n">
        <f aca="false">CEILING(E17/(Assumptions!B6*60*Assumptions!B8),1)</f>
        <v>13</v>
      </c>
      <c r="G17" s="27" t="n">
        <f aca="false">CEILING(F17/(1-Assumptions!B6),1)</f>
        <v>-2</v>
      </c>
      <c r="H17" s="28" t="n">
        <f aca="false">G17</f>
        <v>-2</v>
      </c>
      <c r="I17" s="26" t="str">
        <f aca="false">IF(H17&lt;=20,"✅ Normal",IF(H17&lt;=30,"⚠️ High","🔴 Critical"))</f>
        <v>✅ Normal</v>
      </c>
    </row>
    <row r="18" customFormat="false" ht="15" hidden="false" customHeight="false" outlineLevel="0" collapsed="false">
      <c r="A18" s="16" t="s">
        <v>53</v>
      </c>
      <c r="B18" s="17" t="s">
        <v>51</v>
      </c>
      <c r="C18" s="12" t="n">
        <v>170</v>
      </c>
      <c r="D18" s="18" t="n">
        <f aca="false">Assumptions!B5</f>
        <v>20</v>
      </c>
      <c r="E18" s="19" t="n">
        <f aca="false">C18*D18</f>
        <v>3400</v>
      </c>
      <c r="F18" s="20" t="n">
        <f aca="false">CEILING(E18/(Assumptions!B6*60*Assumptions!B8),1)</f>
        <v>11</v>
      </c>
      <c r="G18" s="21" t="n">
        <f aca="false">CEILING(F18/(1-Assumptions!B6),1)</f>
        <v>-2</v>
      </c>
      <c r="H18" s="22" t="n">
        <f aca="false">G18</f>
        <v>-2</v>
      </c>
      <c r="I18" s="20" t="str">
        <f aca="false">IF(H18&lt;=20,"✅ Normal",IF(H18&lt;=30,"⚠️ High","🔴 Critical"))</f>
        <v>✅ Normal</v>
      </c>
    </row>
    <row r="19" customFormat="false" ht="15" hidden="false" customHeight="true" outlineLevel="0" collapsed="false">
      <c r="A19" s="29" t="s">
        <v>54</v>
      </c>
      <c r="B19" s="29"/>
      <c r="C19" s="30" t="n">
        <f aca="false">SUM(C12:C18)</f>
        <v>2180</v>
      </c>
      <c r="D19" s="30" t="n">
        <f aca="false">SUM(D12:D18)</f>
        <v>140</v>
      </c>
      <c r="E19" s="30" t="n">
        <f aca="false">SUM(E12:E18)</f>
        <v>43600</v>
      </c>
      <c r="F19" s="30" t="n">
        <f aca="false">SUM(F12:F18)</f>
        <v>136</v>
      </c>
      <c r="G19" s="30" t="n">
        <f aca="false">SUM(G12:G18)</f>
        <v>-22</v>
      </c>
      <c r="H19" s="30" t="n">
        <f aca="false">SUM(H12:H18)</f>
        <v>-22</v>
      </c>
      <c r="I19" s="31"/>
    </row>
  </sheetData>
  <mergeCells count="3">
    <mergeCell ref="A1:I1"/>
    <mergeCell ref="A11:B11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5"/>
  </cols>
  <sheetData>
    <row r="1" customFormat="false" ht="36" hidden="false" customHeight="true" outlineLevel="0" collapsed="false">
      <c r="A1" s="4" t="s">
        <v>55</v>
      </c>
      <c r="B1" s="4"/>
      <c r="C1" s="4"/>
      <c r="D1" s="4"/>
      <c r="E1" s="4"/>
      <c r="F1" s="4"/>
      <c r="G1" s="4"/>
      <c r="H1" s="4"/>
    </row>
    <row r="3" customFormat="false" ht="26.85" hidden="false" customHeight="false" outlineLevel="0" collapsed="false">
      <c r="A3" s="5" t="s">
        <v>56</v>
      </c>
      <c r="B3" s="5" t="s">
        <v>57</v>
      </c>
      <c r="C3" s="5" t="s">
        <v>58</v>
      </c>
      <c r="D3" s="5" t="s">
        <v>59</v>
      </c>
      <c r="E3" s="5" t="s">
        <v>60</v>
      </c>
      <c r="F3" s="5" t="s">
        <v>61</v>
      </c>
      <c r="G3" s="5" t="s">
        <v>62</v>
      </c>
      <c r="H3" s="5" t="s">
        <v>63</v>
      </c>
    </row>
    <row r="4" customFormat="false" ht="15" hidden="false" customHeight="false" outlineLevel="0" collapsed="false">
      <c r="A4" s="32" t="s">
        <v>64</v>
      </c>
      <c r="B4" s="33" t="n">
        <v>28000</v>
      </c>
      <c r="C4" s="32" t="n">
        <v>22</v>
      </c>
      <c r="D4" s="34" t="n">
        <v>6.5</v>
      </c>
      <c r="E4" s="35" t="n">
        <v>0.8</v>
      </c>
      <c r="F4" s="35" t="n">
        <v>0.3</v>
      </c>
      <c r="G4" s="19" t="n">
        <f aca="false">B4*D4/60</f>
        <v>3033.33333333333</v>
      </c>
      <c r="H4" s="20" t="str">
        <f aca="false">IF(C4&gt;=28,"✅ Staffed",IF(C4&gt;=23,"⚠️ Monitor","🔴 Understaffed"))</f>
        <v>🔴 Understaffed</v>
      </c>
    </row>
    <row r="5" customFormat="false" ht="15" hidden="false" customHeight="false" outlineLevel="0" collapsed="false">
      <c r="A5" s="36" t="s">
        <v>65</v>
      </c>
      <c r="B5" s="37" t="n">
        <v>26500</v>
      </c>
      <c r="C5" s="36" t="n">
        <v>21</v>
      </c>
      <c r="D5" s="38" t="n">
        <v>6.5</v>
      </c>
      <c r="E5" s="39" t="n">
        <v>0.8</v>
      </c>
      <c r="F5" s="39" t="n">
        <v>0.3</v>
      </c>
      <c r="G5" s="25" t="n">
        <f aca="false">B5*D5/60</f>
        <v>2870.83333333333</v>
      </c>
      <c r="H5" s="26" t="str">
        <f aca="false">IF(C5&gt;=28,"✅ Staffed",IF(C5&gt;=23,"⚠️ Monitor","🔴 Understaffed"))</f>
        <v>🔴 Understaffed</v>
      </c>
    </row>
    <row r="6" customFormat="false" ht="15" hidden="false" customHeight="false" outlineLevel="0" collapsed="false">
      <c r="A6" s="32" t="s">
        <v>66</v>
      </c>
      <c r="B6" s="33" t="n">
        <v>31000</v>
      </c>
      <c r="C6" s="32" t="n">
        <v>24</v>
      </c>
      <c r="D6" s="34" t="n">
        <v>6.5</v>
      </c>
      <c r="E6" s="35" t="n">
        <v>0.8</v>
      </c>
      <c r="F6" s="35" t="n">
        <v>0.3</v>
      </c>
      <c r="G6" s="19" t="n">
        <f aca="false">B6*D6/60</f>
        <v>3358.33333333333</v>
      </c>
      <c r="H6" s="20" t="str">
        <f aca="false">IF(C6&gt;=28,"✅ Staffed",IF(C6&gt;=23,"⚠️ Monitor","🔴 Understaffed"))</f>
        <v>⚠️ Monitor</v>
      </c>
    </row>
    <row r="7" customFormat="false" ht="15" hidden="false" customHeight="false" outlineLevel="0" collapsed="false">
      <c r="A7" s="36" t="s">
        <v>67</v>
      </c>
      <c r="B7" s="37" t="n">
        <v>29500</v>
      </c>
      <c r="C7" s="36" t="n">
        <v>23</v>
      </c>
      <c r="D7" s="38" t="n">
        <v>6.5</v>
      </c>
      <c r="E7" s="39" t="n">
        <v>0.8</v>
      </c>
      <c r="F7" s="39" t="n">
        <v>0.3</v>
      </c>
      <c r="G7" s="25" t="n">
        <f aca="false">B7*D7/60</f>
        <v>3195.83333333333</v>
      </c>
      <c r="H7" s="26" t="str">
        <f aca="false">IF(C7&gt;=28,"✅ Staffed",IF(C7&gt;=23,"⚠️ Monitor","🔴 Understaffed"))</f>
        <v>⚠️ Monitor</v>
      </c>
    </row>
    <row r="8" customFormat="false" ht="15" hidden="false" customHeight="false" outlineLevel="0" collapsed="false">
      <c r="A8" s="32" t="s">
        <v>68</v>
      </c>
      <c r="B8" s="33" t="n">
        <v>33000</v>
      </c>
      <c r="C8" s="32" t="n">
        <v>26</v>
      </c>
      <c r="D8" s="34" t="n">
        <v>6.5</v>
      </c>
      <c r="E8" s="35" t="n">
        <v>0.8</v>
      </c>
      <c r="F8" s="35" t="n">
        <v>0.3</v>
      </c>
      <c r="G8" s="19" t="n">
        <f aca="false">B8*D8/60</f>
        <v>3575</v>
      </c>
      <c r="H8" s="20" t="str">
        <f aca="false">IF(C8&gt;=28,"✅ Staffed",IF(C8&gt;=23,"⚠️ Monitor","🔴 Understaffed"))</f>
        <v>⚠️ Monitor</v>
      </c>
    </row>
    <row r="9" customFormat="false" ht="15" hidden="false" customHeight="false" outlineLevel="0" collapsed="false">
      <c r="A9" s="36" t="s">
        <v>69</v>
      </c>
      <c r="B9" s="37" t="n">
        <v>34500</v>
      </c>
      <c r="C9" s="36" t="n">
        <v>27</v>
      </c>
      <c r="D9" s="38" t="n">
        <v>6.5</v>
      </c>
      <c r="E9" s="39" t="n">
        <v>0.8</v>
      </c>
      <c r="F9" s="39" t="n">
        <v>0.3</v>
      </c>
      <c r="G9" s="25" t="n">
        <f aca="false">B9*D9/60</f>
        <v>3737.5</v>
      </c>
      <c r="H9" s="26" t="str">
        <f aca="false">IF(C9&gt;=28,"✅ Staffed",IF(C9&gt;=23,"⚠️ Monitor","🔴 Understaffed"))</f>
        <v>⚠️ Monitor</v>
      </c>
    </row>
    <row r="10" customFormat="false" ht="15" hidden="false" customHeight="false" outlineLevel="0" collapsed="false">
      <c r="A10" s="32" t="s">
        <v>70</v>
      </c>
      <c r="B10" s="33" t="n">
        <v>36000</v>
      </c>
      <c r="C10" s="32" t="n">
        <v>28</v>
      </c>
      <c r="D10" s="34" t="n">
        <v>6.5</v>
      </c>
      <c r="E10" s="35" t="n">
        <v>0.8</v>
      </c>
      <c r="F10" s="35" t="n">
        <v>0.3</v>
      </c>
      <c r="G10" s="19" t="n">
        <f aca="false">B10*D10/60</f>
        <v>3900</v>
      </c>
      <c r="H10" s="20" t="str">
        <f aca="false">IF(C10&gt;=28,"✅ Staffed",IF(C10&gt;=23,"⚠️ Monitor","🔴 Understaffed"))</f>
        <v>✅ Staffed</v>
      </c>
    </row>
    <row r="11" customFormat="false" ht="15" hidden="false" customHeight="false" outlineLevel="0" collapsed="false">
      <c r="A11" s="36" t="s">
        <v>71</v>
      </c>
      <c r="B11" s="37" t="n">
        <v>35000</v>
      </c>
      <c r="C11" s="36" t="n">
        <v>27</v>
      </c>
      <c r="D11" s="38" t="n">
        <v>6.5</v>
      </c>
      <c r="E11" s="39" t="n">
        <v>0.8</v>
      </c>
      <c r="F11" s="39" t="n">
        <v>0.3</v>
      </c>
      <c r="G11" s="25" t="n">
        <f aca="false">B11*D11/60</f>
        <v>3791.66666666667</v>
      </c>
      <c r="H11" s="26" t="str">
        <f aca="false">IF(C11&gt;=28,"✅ Staffed",IF(C11&gt;=23,"⚠️ Monitor","🔴 Understaffed"))</f>
        <v>⚠️ Monitor</v>
      </c>
    </row>
    <row r="12" customFormat="false" ht="15" hidden="false" customHeight="false" outlineLevel="0" collapsed="false">
      <c r="A12" s="32" t="s">
        <v>72</v>
      </c>
      <c r="B12" s="33" t="n">
        <v>30000</v>
      </c>
      <c r="C12" s="32" t="n">
        <v>24</v>
      </c>
      <c r="D12" s="34" t="n">
        <v>6.5</v>
      </c>
      <c r="E12" s="35" t="n">
        <v>0.8</v>
      </c>
      <c r="F12" s="35" t="n">
        <v>0.3</v>
      </c>
      <c r="G12" s="19" t="n">
        <f aca="false">B12*D12/60</f>
        <v>3250</v>
      </c>
      <c r="H12" s="20" t="str">
        <f aca="false">IF(C12&gt;=28,"✅ Staffed",IF(C12&gt;=23,"⚠️ Monitor","🔴 Understaffed"))</f>
        <v>⚠️ Monitor</v>
      </c>
    </row>
    <row r="13" customFormat="false" ht="15" hidden="false" customHeight="false" outlineLevel="0" collapsed="false">
      <c r="A13" s="36" t="s">
        <v>73</v>
      </c>
      <c r="B13" s="37" t="n">
        <v>28500</v>
      </c>
      <c r="C13" s="36" t="n">
        <v>22</v>
      </c>
      <c r="D13" s="38" t="n">
        <v>6.5</v>
      </c>
      <c r="E13" s="39" t="n">
        <v>0.8</v>
      </c>
      <c r="F13" s="39" t="n">
        <v>0.3</v>
      </c>
      <c r="G13" s="25" t="n">
        <f aca="false">B13*D13/60</f>
        <v>3087.5</v>
      </c>
      <c r="H13" s="26" t="str">
        <f aca="false">IF(C13&gt;=28,"✅ Staffed",IF(C13&gt;=23,"⚠️ Monitor","🔴 Understaffed"))</f>
        <v>🔴 Understaffed</v>
      </c>
    </row>
    <row r="14" customFormat="false" ht="15" hidden="false" customHeight="false" outlineLevel="0" collapsed="false">
      <c r="A14" s="32" t="s">
        <v>74</v>
      </c>
      <c r="B14" s="33" t="n">
        <v>32000</v>
      </c>
      <c r="C14" s="32" t="n">
        <v>25</v>
      </c>
      <c r="D14" s="34" t="n">
        <v>6.5</v>
      </c>
      <c r="E14" s="35" t="n">
        <v>0.8</v>
      </c>
      <c r="F14" s="35" t="n">
        <v>0.3</v>
      </c>
      <c r="G14" s="19" t="n">
        <f aca="false">B14*D14/60</f>
        <v>3466.66666666667</v>
      </c>
      <c r="H14" s="20" t="str">
        <f aca="false">IF(C14&gt;=28,"✅ Staffed",IF(C14&gt;=23,"⚠️ Monitor","🔴 Understaffed"))</f>
        <v>⚠️ Monitor</v>
      </c>
    </row>
    <row r="15" customFormat="false" ht="15" hidden="false" customHeight="false" outlineLevel="0" collapsed="false">
      <c r="A15" s="36" t="s">
        <v>75</v>
      </c>
      <c r="B15" s="37" t="n">
        <v>38000</v>
      </c>
      <c r="C15" s="36" t="n">
        <v>30</v>
      </c>
      <c r="D15" s="38" t="n">
        <v>6.5</v>
      </c>
      <c r="E15" s="39" t="n">
        <v>0.8</v>
      </c>
      <c r="F15" s="39" t="n">
        <v>0.3</v>
      </c>
      <c r="G15" s="25" t="n">
        <f aca="false">B15*D15/60</f>
        <v>4116.66666666667</v>
      </c>
      <c r="H15" s="26" t="str">
        <f aca="false">IF(C15&gt;=28,"✅ Staffed",IF(C15&gt;=23,"⚠️ Monitor","🔴 Understaffed"))</f>
        <v>✅ Staffed</v>
      </c>
    </row>
    <row r="16" customFormat="false" ht="26.85" hidden="false" customHeight="false" outlineLevel="0" collapsed="false">
      <c r="A16" s="40" t="s">
        <v>76</v>
      </c>
      <c r="B16" s="41" t="n">
        <f aca="false">SUM(B4:B15)</f>
        <v>382000</v>
      </c>
      <c r="C16" s="42" t="n">
        <f aca="false">AVERAGE(C4:C15)</f>
        <v>24.9166666666667</v>
      </c>
      <c r="D16" s="31"/>
      <c r="E16" s="31"/>
      <c r="F16" s="31"/>
      <c r="G16" s="41" t="n">
        <f aca="false">SUM(G4:G15)</f>
        <v>41383.3333333333</v>
      </c>
      <c r="H16" s="31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2026-03-18T20:48:06Z</dcterms:created>
  <dc:creator>openpyxl</dc:creator>
  <dc:description/>
  <dc:language>en-US</dc:language>
  <cp:lastModifiedBy/>
  <dcterms:modified xsi:type="dcterms:W3CDTF">2026-03-18T20:48:16Z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