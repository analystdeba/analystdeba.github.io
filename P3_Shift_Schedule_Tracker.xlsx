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Schedule" sheetId="1" state="visible" r:id="rId3"/>
    <sheet name="Coverag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<sst xmlns="http://schemas.openxmlformats.org/spreadsheetml/2006/main" count="115" uniqueCount="48">
  <si>
    <t xml:space="preserve">🗓️  WEEKLY AGENT SHIFT SCHEDULE &amp; COVERAGE TRACKER</t>
  </si>
  <si>
    <t xml:space="preserve">LEGEND:</t>
  </si>
  <si>
    <t xml:space="preserve">  M = Morning 7AM–3PM  </t>
  </si>
  <si>
    <t xml:space="preserve">  A = Afternoon 3PM–11PM  </t>
  </si>
  <si>
    <t xml:space="preserve">  N = Night 11PM–7AM  </t>
  </si>
  <si>
    <t xml:space="preserve">  O = Off / Rest Day  </t>
  </si>
  <si>
    <t xml:space="preserve">  T = Training  </t>
  </si>
  <si>
    <t xml:space="preserve">A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</si>
  <si>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</si>
  <si>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</si>
  <si>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</si>
  <si>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</si>
  <si>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</si>
  <si>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</si>
  <si>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</si>
  <si>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Total Shifts</t>
  </si>
  <si>
    <t xml:space="preserve">Off Days</t>
  </si>
  <si>
    <t xml:space="preserve">Agent 1 - Ana R.</t>
  </si>
  <si>
    <t xml:space="preserve">M</t>
  </si>
  <si>
    <t xml:space="preserve">O</t>
  </si>
  <si>
    <t xml:space="preserve">Agent 2 - Ben K.</t>
  </si>
  <si>
    <t xml:space="preserve">Agent 3 - Cara S.</t>
  </si>
  <si>
    <t xml:space="preserve">N</t>
  </si>
  <si>
    <t xml:space="preserve">Agent 4 - Dan T.</t>
  </si>
  <si>
    <t xml:space="preserve">Agent 5 - Eva L.</t>
  </si>
  <si>
    <t xml:space="preserve">Agent 6 - Finn O.</t>
  </si>
  <si>
    <t xml:space="preserve">Agent 7 - Gail P.</t>
  </si>
  <si>
    <t xml:space="preserve">Agent 8 - Hiro W.</t>
  </si>
  <si>
    <t xml:space="preserve">Agent 9 - Iris C.</t>
  </si>
  <si>
    <t xml:space="preserve">Agent 10 - Jake M.</t>
  </si>
  <si>
    <t xml:space="preserve">COVERAGE COUNT</t>
  </si>
  <si>
    <t xml:space="preserve">REQUIRED AGENTS</t>
  </si>
  <si>
    <t xml:space="preserve">COVERAGE GAP</t>
  </si>
  <si>
    <t xml:space="preserve">📈  WEEKLY COVERAGE SUMMARY REPORT</t>
  </si>
  <si>
    <t xml:space="preserve">Day</t>
  </si>
  <si>
    <t xml:space="preserve">Coverage Count</t>
  </si>
  <si>
    <t xml:space="preserve">Required</t>
  </si>
  <si>
    <t xml:space="preserve">Gap</t>
  </si>
  <si>
    <t xml:space="preserve">Coverage %</t>
  </si>
  <si>
    <t xml:space="preserve">Shift Split (M/A/N)</t>
  </si>
  <si>
    <t xml:space="preserve">Status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</si>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</sst>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41719C"/>
        <bgColor rgb="FF2E75B6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1719C"/>
      </patternFill>
    </fill>
    <fill>
      <patternFill patternType="solid">
        <fgColor rgb="FFEBF3FB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DEEA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5F5F5"/>
      <rgbColor rgb="FFF2F2F2"/>
      <rgbColor rgb="FFF9F9F9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41719C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Coverage vs Required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'Coverage Summary'!B3</c:f>
              <c:strCache>
                <c:ptCount val="1"/>
                <c:pt idx="0">
                  <c:v>Coverage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Summary'!$A$4:$A$10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'Coverage Summary'!$B$4:$B$10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</c:numCache>
            </c:numRef>
          </c:val>
        </c:ser>
        <c:ser>
          <c:idx val="1"/>
          <c:order val="1"/>
          <c:tx>
            <c:strRef>
              <c:f>'Coverage Summary'!C3</c:f>
              <c:strCache>
                <c:ptCount val="1"/>
                <c:pt idx="0">
                  <c:v>Required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'Coverage Summary'!$A$4:$A$10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'Coverage Summary'!$C$4:$C$10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</c:ser>
        <c:gapWidth val="150"/>
        <c:overlap val="0"/>
        <c:axId val="21147043"/>
        <c:axId val="70946568"/>
      </c:barChart>
      <c:catAx>
        <c:axId val="211470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46568"/>
        <c:crosses val="autoZero"/>
        <c:auto val="1"/>
        <c:lblAlgn val="ctr"/>
        <c:lblOffset val="100"/>
        <c:noMultiLvlLbl val="0"/>
      </c:catAx>
      <c:valAx>
        <c:axId val="70946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470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6</xdr:col>
      <xdr:colOff>856080</xdr:colOff>
      <xdr:row>38</xdr:row>
      <xdr:rowOff>86400</xdr:rowOff>
    </xdr:to>
    <xdr:graphicFrame>
      <xdr:nvGraphicFramePr>
        <xdr:cNvPr id="0" name="Chart 1"/>
        <xdr:cNvGraphicFramePr/>
      </xdr:nvGraphicFramePr>
      <xdr:xfrm>
        <a:off x="0" y="268596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9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</row>
    <row r="4" customFormat="false" ht="25.5" hidden="false" customHeight="true" outlineLevel="0" collapsed="false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</row>
    <row r="5" customFormat="false" ht="15" hidden="false" customHeight="false" outlineLevel="0" collapsed="false">
      <c r="A5" s="9" t="s">
        <v>17</v>
      </c>
      <c r="B5" s="10" t="s">
        <v>18</v>
      </c>
      <c r="C5" s="10" t="s">
        <v>18</v>
      </c>
      <c r="D5" s="10" t="s">
        <v>18</v>
      </c>
      <c r="E5" s="11" t="s">
        <v>7</v>
      </c>
      <c r="F5" s="11" t="s">
        <v>7</v>
      </c>
      <c r="G5" s="12" t="s">
        <v>19</v>
      </c>
      <c r="H5" s="12" t="s">
        <v>19</v>
      </c>
      <c r="I5" s="13" t="n">
        <f aca="false">COUNTIF(B5:H5,"M")+COUNTIF(B5:H5,"A")+COUNTIF(B5:H5,"N")+COUNTIF(B5:H5,"T")</f>
        <v>5</v>
      </c>
      <c r="J5" s="14" t="n">
        <f aca="false">COUNTIF(B5:H5,"O")</f>
        <v>2</v>
      </c>
    </row>
    <row r="6" customFormat="false" ht="15" hidden="false" customHeight="false" outlineLevel="0" collapsed="false">
      <c r="A6" s="15" t="s">
        <v>20</v>
      </c>
      <c r="B6" s="11" t="s">
        <v>7</v>
      </c>
      <c r="C6" s="11" t="s">
        <v>7</v>
      </c>
      <c r="D6" s="12" t="s">
        <v>19</v>
      </c>
      <c r="E6" s="10" t="s">
        <v>18</v>
      </c>
      <c r="F6" s="10" t="s">
        <v>18</v>
      </c>
      <c r="G6" s="10" t="s">
        <v>18</v>
      </c>
      <c r="H6" s="11" t="s">
        <v>7</v>
      </c>
      <c r="I6" s="13" t="n">
        <f aca="false">COUNTIF(B6:H6,"M")+COUNTIF(B6:H6,"A")+COUNTIF(B6:H6,"N")+COUNTIF(B6:H6,"T")</f>
        <v>6</v>
      </c>
      <c r="J6" s="14" t="n">
        <f aca="false">COUNTIF(B6:H6,"O")</f>
        <v>1</v>
      </c>
    </row>
    <row r="7" customFormat="false" ht="15" hidden="false" customHeight="false" outlineLevel="0" collapsed="false">
      <c r="A7" s="9" t="s">
        <v>21</v>
      </c>
      <c r="B7" s="16" t="s">
        <v>22</v>
      </c>
      <c r="C7" s="12" t="s">
        <v>19</v>
      </c>
      <c r="D7" s="16" t="s">
        <v>22</v>
      </c>
      <c r="E7" s="16" t="s">
        <v>22</v>
      </c>
      <c r="F7" s="10" t="s">
        <v>18</v>
      </c>
      <c r="G7" s="11" t="s">
        <v>7</v>
      </c>
      <c r="H7" s="10" t="s">
        <v>18</v>
      </c>
      <c r="I7" s="13" t="n">
        <f aca="false">COUNTIF(B7:H7,"M")+COUNTIF(B7:H7,"A")+COUNTIF(B7:H7,"N")+COUNTIF(B7:H7,"T")</f>
        <v>6</v>
      </c>
      <c r="J7" s="14" t="n">
        <f aca="false">COUNTIF(B7:H7,"O")</f>
        <v>1</v>
      </c>
    </row>
    <row r="8" customFormat="false" ht="15" hidden="false" customHeight="false" outlineLevel="0" collapsed="false">
      <c r="A8" s="15" t="s">
        <v>23</v>
      </c>
      <c r="B8" s="10" t="s">
        <v>18</v>
      </c>
      <c r="C8" s="11" t="s">
        <v>7</v>
      </c>
      <c r="D8" s="11" t="s">
        <v>7</v>
      </c>
      <c r="E8" s="12" t="s">
        <v>19</v>
      </c>
      <c r="F8" s="16" t="s">
        <v>22</v>
      </c>
      <c r="G8" s="16" t="s">
        <v>22</v>
      </c>
      <c r="H8" s="10" t="s">
        <v>18</v>
      </c>
      <c r="I8" s="13" t="n">
        <f aca="false">COUNTIF(B8:H8,"M")+COUNTIF(B8:H8,"A")+COUNTIF(B8:H8,"N")+COUNTIF(B8:H8,"T")</f>
        <v>6</v>
      </c>
      <c r="J8" s="14" t="n">
        <f aca="false">COUNTIF(B8:H8,"O")</f>
        <v>1</v>
      </c>
    </row>
    <row r="9" customFormat="false" ht="15" hidden="false" customHeight="false" outlineLevel="0" collapsed="false">
      <c r="A9" s="9" t="s">
        <v>24</v>
      </c>
      <c r="B9" s="12" t="s">
        <v>19</v>
      </c>
      <c r="C9" s="10" t="s">
        <v>18</v>
      </c>
      <c r="D9" s="10" t="s">
        <v>18</v>
      </c>
      <c r="E9" s="11" t="s">
        <v>7</v>
      </c>
      <c r="F9" s="11" t="s">
        <v>7</v>
      </c>
      <c r="G9" s="10" t="s">
        <v>18</v>
      </c>
      <c r="H9" s="16" t="s">
        <v>22</v>
      </c>
      <c r="I9" s="13" t="n">
        <f aca="false">COUNTIF(B9:H9,"M")+COUNTIF(B9:H9,"A")+COUNTIF(B9:H9,"N")+COUNTIF(B9:H9,"T")</f>
        <v>6</v>
      </c>
      <c r="J9" s="14" t="n">
        <f aca="false">COUNTIF(B9:H9,"O")</f>
        <v>1</v>
      </c>
    </row>
    <row r="10" customFormat="false" ht="15" hidden="false" customHeight="false" outlineLevel="0" collapsed="false">
      <c r="A10" s="15" t="s">
        <v>25</v>
      </c>
      <c r="B10" s="11" t="s">
        <v>7</v>
      </c>
      <c r="C10" s="16" t="s">
        <v>22</v>
      </c>
      <c r="D10" s="11" t="s">
        <v>7</v>
      </c>
      <c r="E10" s="10" t="s">
        <v>18</v>
      </c>
      <c r="F10" s="12" t="s">
        <v>19</v>
      </c>
      <c r="G10" s="10" t="s">
        <v>18</v>
      </c>
      <c r="H10" s="11" t="s">
        <v>7</v>
      </c>
      <c r="I10" s="13" t="n">
        <f aca="false">COUNTIF(B10:H10,"M")+COUNTIF(B10:H10,"A")+COUNTIF(B10:H10,"N")+COUNTIF(B10:H10,"T")</f>
        <v>6</v>
      </c>
      <c r="J10" s="14" t="n">
        <f aca="false">COUNTIF(B10:H10,"O")</f>
        <v>1</v>
      </c>
    </row>
    <row r="11" customFormat="false" ht="15" hidden="false" customHeight="false" outlineLevel="0" collapsed="false">
      <c r="A11" s="9" t="s">
        <v>26</v>
      </c>
      <c r="B11" s="10" t="s">
        <v>18</v>
      </c>
      <c r="C11" s="10" t="s">
        <v>18</v>
      </c>
      <c r="D11" s="12" t="s">
        <v>19</v>
      </c>
      <c r="E11" s="16" t="s">
        <v>22</v>
      </c>
      <c r="F11" s="11" t="s">
        <v>7</v>
      </c>
      <c r="G11" s="11" t="s">
        <v>7</v>
      </c>
      <c r="H11" s="12" t="s">
        <v>19</v>
      </c>
      <c r="I11" s="13" t="n">
        <f aca="false">COUNTIF(B11:H11,"M")+COUNTIF(B11:H11,"A")+COUNTIF(B11:H11,"N")+COUNTIF(B11:H11,"T")</f>
        <v>5</v>
      </c>
      <c r="J11" s="14" t="n">
        <f aca="false">COUNTIF(B11:H11,"O")</f>
        <v>2</v>
      </c>
    </row>
    <row r="12" customFormat="false" ht="15" hidden="false" customHeight="false" outlineLevel="0" collapsed="false">
      <c r="A12" s="15" t="s">
        <v>27</v>
      </c>
      <c r="B12" s="16" t="s">
        <v>22</v>
      </c>
      <c r="C12" s="11" t="s">
        <v>7</v>
      </c>
      <c r="D12" s="10" t="s">
        <v>18</v>
      </c>
      <c r="E12" s="11" t="s">
        <v>7</v>
      </c>
      <c r="F12" s="10" t="s">
        <v>18</v>
      </c>
      <c r="G12" s="12" t="s">
        <v>19</v>
      </c>
      <c r="H12" s="10" t="s">
        <v>18</v>
      </c>
      <c r="I12" s="13" t="n">
        <f aca="false">COUNTIF(B12:H12,"M")+COUNTIF(B12:H12,"A")+COUNTIF(B12:H12,"N")+COUNTIF(B12:H12,"T")</f>
        <v>6</v>
      </c>
      <c r="J12" s="14" t="n">
        <f aca="false">COUNTIF(B12:H12,"O")</f>
        <v>1</v>
      </c>
    </row>
    <row r="13" customFormat="false" ht="15" hidden="false" customHeight="false" outlineLevel="0" collapsed="false">
      <c r="A13" s="9" t="s">
        <v>28</v>
      </c>
      <c r="B13" s="12" t="s">
        <v>19</v>
      </c>
      <c r="C13" s="12" t="s">
        <v>19</v>
      </c>
      <c r="D13" s="11" t="s">
        <v>7</v>
      </c>
      <c r="E13" s="10" t="s">
        <v>18</v>
      </c>
      <c r="F13" s="16" t="s">
        <v>22</v>
      </c>
      <c r="G13" s="11" t="s">
        <v>7</v>
      </c>
      <c r="H13" s="11" t="s">
        <v>7</v>
      </c>
      <c r="I13" s="13" t="n">
        <f aca="false">COUNTIF(B13:H13,"M")+COUNTIF(B13:H13,"A")+COUNTIF(B13:H13,"N")+COUNTIF(B13:H13,"T")</f>
        <v>5</v>
      </c>
      <c r="J13" s="14" t="n">
        <f aca="false">COUNTIF(B13:H13,"O")</f>
        <v>2</v>
      </c>
    </row>
    <row r="14" customFormat="false" ht="15" hidden="false" customHeight="false" outlineLevel="0" collapsed="false">
      <c r="A14" s="15" t="s">
        <v>29</v>
      </c>
      <c r="B14" s="11" t="s">
        <v>7</v>
      </c>
      <c r="C14" s="10" t="s">
        <v>18</v>
      </c>
      <c r="D14" s="10" t="s">
        <v>18</v>
      </c>
      <c r="E14" s="12" t="s">
        <v>19</v>
      </c>
      <c r="F14" s="11" t="s">
        <v>7</v>
      </c>
      <c r="G14" s="16" t="s">
        <v>22</v>
      </c>
      <c r="H14" s="16" t="s">
        <v>22</v>
      </c>
      <c r="I14" s="13" t="n">
        <f aca="false">COUNTIF(B14:H14,"M")+COUNTIF(B14:H14,"A")+COUNTIF(B14:H14,"N")+COUNTIF(B14:H14,"T")</f>
        <v>6</v>
      </c>
      <c r="J14" s="14" t="n">
        <f aca="false">COUNTIF(B14:H14,"O")</f>
        <v>1</v>
      </c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customFormat="false" ht="15" hidden="false" customHeight="false" outlineLevel="0" collapsed="false">
      <c r="A16" s="18" t="s">
        <v>30</v>
      </c>
      <c r="B16" s="19" t="n">
        <f aca="false">COUNTIF(B5:B14,"M")+COUNTIF(B5:B14,"A")+COUNTIF(B5:B14,"N")</f>
        <v>8</v>
      </c>
      <c r="C16" s="19" t="n">
        <f aca="false">COUNTIF(C5:C14,"M")+COUNTIF(C5:C14,"A")+COUNTIF(C5:C14,"N")</f>
        <v>8</v>
      </c>
      <c r="D16" s="19" t="n">
        <f aca="false">COUNTIF(D5:D14,"M")+COUNTIF(D5:D14,"A")+COUNTIF(D5:D14,"N")</f>
        <v>8</v>
      </c>
      <c r="E16" s="19" t="n">
        <f aca="false">COUNTIF(E5:E14,"M")+COUNTIF(E5:E14,"A")+COUNTIF(E5:E14,"N")</f>
        <v>8</v>
      </c>
      <c r="F16" s="19" t="n">
        <f aca="false">COUNTIF(F5:F14,"M")+COUNTIF(F5:F14,"A")+COUNTIF(F5:F14,"N")</f>
        <v>9</v>
      </c>
      <c r="G16" s="19" t="n">
        <f aca="false">COUNTIF(G5:G14,"M")+COUNTIF(G5:G14,"A")+COUNTIF(G5:G14,"N")</f>
        <v>8</v>
      </c>
      <c r="H16" s="19" t="n">
        <f aca="false">COUNTIF(H5:H14,"M")+COUNTIF(H5:H14,"A")+COUNTIF(H5:H14,"N")</f>
        <v>8</v>
      </c>
      <c r="I16" s="17"/>
      <c r="J16" s="17"/>
    </row>
    <row r="17" customFormat="false" ht="15" hidden="false" customHeight="false" outlineLevel="0" collapsed="false">
      <c r="A17" s="20" t="s">
        <v>31</v>
      </c>
      <c r="B17" s="21" t="n">
        <v>8</v>
      </c>
      <c r="C17" s="21" t="n">
        <v>8</v>
      </c>
      <c r="D17" s="21" t="n">
        <v>8</v>
      </c>
      <c r="E17" s="21" t="n">
        <v>8</v>
      </c>
      <c r="F17" s="21" t="n">
        <v>8</v>
      </c>
      <c r="G17" s="21" t="n">
        <v>6</v>
      </c>
      <c r="H17" s="21" t="n">
        <v>5</v>
      </c>
      <c r="I17" s="17"/>
      <c r="J17" s="17"/>
    </row>
    <row r="18" customFormat="false" ht="15" hidden="false" customHeight="false" outlineLevel="0" collapsed="false">
      <c r="A18" s="22" t="s">
        <v>32</v>
      </c>
      <c r="B18" s="23" t="n">
        <f aca="false">B16-B17</f>
        <v>0</v>
      </c>
      <c r="C18" s="23" t="n">
        <f aca="false">C16-C17</f>
        <v>0</v>
      </c>
      <c r="D18" s="23" t="n">
        <f aca="false">D16-D17</f>
        <v>0</v>
      </c>
      <c r="E18" s="23" t="n">
        <f aca="false">E16-E17</f>
        <v>0</v>
      </c>
      <c r="F18" s="23" t="n">
        <f aca="false">F16-F17</f>
        <v>1</v>
      </c>
      <c r="G18" s="23" t="n">
        <f aca="false">G16-G17</f>
        <v>2</v>
      </c>
      <c r="H18" s="23" t="n">
        <f aca="false">H16-H17</f>
        <v>3</v>
      </c>
      <c r="I18" s="17"/>
      <c r="J18" s="17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36" hidden="false" customHeight="true" outlineLevel="0" collapsed="false">
      <c r="A1" s="1" t="s">
        <v>33</v>
      </c>
      <c r="B1" s="1"/>
      <c r="C1" s="1"/>
      <c r="D1" s="1"/>
      <c r="E1" s="1"/>
      <c r="F1" s="1"/>
      <c r="G1" s="1"/>
    </row>
    <row r="3" customFormat="false" ht="25.5" hidden="false" customHeight="true" outlineLevel="0" collapsed="false">
      <c r="A3" s="24" t="s">
        <v>34</v>
      </c>
      <c r="B3" s="24" t="s">
        <v>35</v>
      </c>
      <c r="C3" s="24" t="s">
        <v>36</v>
      </c>
      <c r="D3" s="24" t="s">
        <v>37</v>
      </c>
      <c r="E3" s="24" t="s">
        <v>38</v>
      </c>
      <c r="F3" s="24" t="s">
        <v>39</v>
      </c>
      <c r="G3" s="24" t="s">
        <v>40</v>
      </c>
    </row>
    <row r="4" customFormat="false" ht="15" hidden="false" customHeight="false" outlineLevel="0" collapsed="false">
      <c r="A4" s="25" t="s">
        <v>41</v>
      </c>
      <c r="B4" s="26" t="n">
        <f aca="false">'Weekly Schedule'!B16</f>
        <v>8</v>
      </c>
      <c r="C4" s="27" t="n">
        <f aca="false">'Weekly Schedule'!B17</f>
        <v>8</v>
      </c>
      <c r="D4" s="26" t="n">
        <f aca="false">'Weekly Schedule'!B18</f>
        <v>0</v>
      </c>
      <c r="E4" s="28" t="n">
        <f aca="false">IF(C4&gt;0,B4/C4,0)</f>
        <v>1</v>
      </c>
      <c r="F4" s="29" t="str">
        <f aca="false">COUNTIF('Weekly Schedule'!B5:B14,"M")&amp;"M / "&amp;COUNTIF('Weekly Schedule'!B5:B14,"A")&amp;"A / "&amp;COUNTIF('Weekly Schedule'!B5:B14,"N")&amp;"N"</f>
        <v>3M / 3A / 2N</v>
      </c>
      <c r="G4" s="29" t="str">
        <f aca="false">IF(D4&gt;=0,"✅ Covered",IF(D4&gt;=-1,"⚠️ Tight","🔴 Understaffed"))</f>
        <v>✅ Covered</v>
      </c>
    </row>
    <row r="5" customFormat="false" ht="15" hidden="false" customHeight="false" outlineLevel="0" collapsed="false">
      <c r="A5" s="9" t="s">
        <v>42</v>
      </c>
      <c r="B5" s="30" t="n">
        <f aca="false">'Weekly Schedule'!C16</f>
        <v>8</v>
      </c>
      <c r="C5" s="31" t="n">
        <f aca="false">'Weekly Schedule'!C17</f>
        <v>8</v>
      </c>
      <c r="D5" s="30" t="n">
        <f aca="false">'Weekly Schedule'!C18</f>
        <v>0</v>
      </c>
      <c r="E5" s="32" t="n">
        <f aca="false">IF(C5&gt;0,B5/C5,0)</f>
        <v>1</v>
      </c>
      <c r="F5" s="14" t="str">
        <f aca="false">COUNTIF('Weekly Schedule'!C5:C14,"M")&amp;"M / "&amp;COUNTIF('Weekly Schedule'!C5:C14,"A")&amp;"A / "&amp;COUNTIF('Weekly Schedule'!C5:C14,"N")&amp;"N"</f>
        <v>4M / 3A / 1N</v>
      </c>
      <c r="G5" s="14" t="str">
        <f aca="false">IF(D5&gt;=0,"✅ Covered",IF(D5&gt;=-1,"⚠️ Tight","🔴 Understaffed"))</f>
        <v>✅ Covered</v>
      </c>
    </row>
    <row r="6" customFormat="false" ht="15" hidden="false" customHeight="false" outlineLevel="0" collapsed="false">
      <c r="A6" s="25" t="s">
        <v>43</v>
      </c>
      <c r="B6" s="26" t="n">
        <f aca="false">'Weekly Schedule'!D16</f>
        <v>8</v>
      </c>
      <c r="C6" s="27" t="n">
        <f aca="false">'Weekly Schedule'!D17</f>
        <v>8</v>
      </c>
      <c r="D6" s="26" t="n">
        <f aca="false">'Weekly Schedule'!D18</f>
        <v>0</v>
      </c>
      <c r="E6" s="28" t="n">
        <f aca="false">IF(C6&gt;0,B6/C6,0)</f>
        <v>1</v>
      </c>
      <c r="F6" s="29" t="str">
        <f aca="false">COUNTIF('Weekly Schedule'!D5:D14,"M")&amp;"M / "&amp;COUNTIF('Weekly Schedule'!D5:D14,"A")&amp;"A / "&amp;COUNTIF('Weekly Schedule'!D5:D14,"N")&amp;"N"</f>
        <v>4M / 3A / 1N</v>
      </c>
      <c r="G6" s="29" t="str">
        <f aca="false">IF(D6&gt;=0,"✅ Covered",IF(D6&gt;=-1,"⚠️ Tight","🔴 Understaffed"))</f>
        <v>✅ Covered</v>
      </c>
    </row>
    <row r="7" customFormat="false" ht="15" hidden="false" customHeight="false" outlineLevel="0" collapsed="false">
      <c r="A7" s="9" t="s">
        <v>44</v>
      </c>
      <c r="B7" s="30" t="n">
        <f aca="false">'Weekly Schedule'!E16</f>
        <v>8</v>
      </c>
      <c r="C7" s="31" t="n">
        <f aca="false">'Weekly Schedule'!E17</f>
        <v>8</v>
      </c>
      <c r="D7" s="30" t="n">
        <f aca="false">'Weekly Schedule'!E18</f>
        <v>0</v>
      </c>
      <c r="E7" s="32" t="n">
        <f aca="false">IF(C7&gt;0,B7/C7,0)</f>
        <v>1</v>
      </c>
      <c r="F7" s="14" t="str">
        <f aca="false">COUNTIF('Weekly Schedule'!E5:E14,"M")&amp;"M / "&amp;COUNTIF('Weekly Schedule'!E5:E14,"A")&amp;"A / "&amp;COUNTIF('Weekly Schedule'!E5:E14,"N")&amp;"N"</f>
        <v>3M / 3A / 2N</v>
      </c>
      <c r="G7" s="14" t="str">
        <f aca="false">IF(D7&gt;=0,"✅ Covered",IF(D7&gt;=-1,"⚠️ Tight","🔴 Understaffed"))</f>
        <v>✅ Covered</v>
      </c>
    </row>
    <row r="8" customFormat="false" ht="15" hidden="false" customHeight="false" outlineLevel="0" collapsed="false">
      <c r="A8" s="25" t="s">
        <v>45</v>
      </c>
      <c r="B8" s="26" t="n">
        <f aca="false">'Weekly Schedule'!F16</f>
        <v>9</v>
      </c>
      <c r="C8" s="27" t="n">
        <f aca="false">'Weekly Schedule'!F17</f>
        <v>8</v>
      </c>
      <c r="D8" s="26" t="n">
        <f aca="false">'Weekly Schedule'!F18</f>
        <v>1</v>
      </c>
      <c r="E8" s="28" t="n">
        <f aca="false">IF(C8&gt;0,B8/C8,0)</f>
        <v>1.125</v>
      </c>
      <c r="F8" s="29" t="str">
        <f aca="false">COUNTIF('Weekly Schedule'!F5:F14,"M")&amp;"M / "&amp;COUNTIF('Weekly Schedule'!F5:F14,"A")&amp;"A / "&amp;COUNTIF('Weekly Schedule'!F5:F14,"N")&amp;"N"</f>
        <v>3M / 4A / 2N</v>
      </c>
      <c r="G8" s="29" t="str">
        <f aca="false">IF(D8&gt;=0,"✅ Covered",IF(D8&gt;=-1,"⚠️ Tight","🔴 Understaffed"))</f>
        <v>✅ Covered</v>
      </c>
    </row>
    <row r="9" customFormat="false" ht="15" hidden="false" customHeight="false" outlineLevel="0" collapsed="false">
      <c r="A9" s="9" t="s">
        <v>46</v>
      </c>
      <c r="B9" s="30" t="n">
        <f aca="false">'Weekly Schedule'!G16</f>
        <v>8</v>
      </c>
      <c r="C9" s="31" t="n">
        <f aca="false">'Weekly Schedule'!G17</f>
        <v>6</v>
      </c>
      <c r="D9" s="30" t="n">
        <f aca="false">'Weekly Schedule'!G18</f>
        <v>2</v>
      </c>
      <c r="E9" s="32" t="n">
        <f aca="false">IF(C9&gt;0,B9/C9,0)</f>
        <v>1.33333333333333</v>
      </c>
      <c r="F9" s="14" t="str">
        <f aca="false">COUNTIF('Weekly Schedule'!G5:G14,"M")&amp;"M / "&amp;COUNTIF('Weekly Schedule'!G5:G14,"A")&amp;"A / "&amp;COUNTIF('Weekly Schedule'!G5:G14,"N")&amp;"N"</f>
        <v>3M / 3A / 2N</v>
      </c>
      <c r="G9" s="14" t="str">
        <f aca="false">IF(D9&gt;=0,"✅ Covered",IF(D9&gt;=-1,"⚠️ Tight","🔴 Understaffed"))</f>
        <v>✅ Covered</v>
      </c>
    </row>
    <row r="10" customFormat="false" ht="15" hidden="false" customHeight="false" outlineLevel="0" collapsed="false">
      <c r="A10" s="25" t="s">
        <v>47</v>
      </c>
      <c r="B10" s="26" t="n">
        <f aca="false">'Weekly Schedule'!H16</f>
        <v>8</v>
      </c>
      <c r="C10" s="27" t="n">
        <f aca="false">'Weekly Schedule'!H17</f>
        <v>5</v>
      </c>
      <c r="D10" s="26" t="n">
        <f aca="false">'Weekly Schedule'!H18</f>
        <v>3</v>
      </c>
      <c r="E10" s="28" t="n">
        <f aca="false">IF(C10&gt;0,B10/C10,0)</f>
        <v>1.6</v>
      </c>
      <c r="F10" s="29" t="str">
        <f aca="false">COUNTIF('Weekly Schedule'!H5:H14,"M")&amp;"M / "&amp;COUNTIF('Weekly Schedule'!H5:H14,"A")&amp;"A / "&amp;COUNTIF('Weekly Schedule'!H5:H14,"N")&amp;"N"</f>
        <v>3M / 3A / 2N</v>
      </c>
      <c r="G10" s="29" t="str">
        <f aca="false">IF(D10&gt;=0,"✅ Covered",IF(D10&gt;=-1,"⚠️ Tight","🔴 Understaffed"))</f>
        <v>✅ Covered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2026-03-18T20:48:06Z</dcterms:created>
  <dc:creator>openpyxl</dc:creator>
  <dc:description/>
  <dc:language>en-US</dc:language>
  <cp:lastModifiedBy/>
  <dcterms:modified xsi:type="dcterms:W3CDTF">2026-03-18T20:48:26Z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