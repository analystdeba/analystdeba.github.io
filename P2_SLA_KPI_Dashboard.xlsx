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KPI Dashboard" sheetId="2" state="visible" r:id="rId4"/>
    <sheet name="KPI Calc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<sst xmlns="http://schemas.openxmlformats.org/spreadsheetml/2006/main" count="50" uniqueCount="40">
  <si>
    <t xml:space="preserve">📥  RAW CALL CENTER DATA — Monthly KPI Input</t>
  </si>
  <si>
    <t xml:space="preserve">Month</t>
  </si>
  <si>
    <t xml:space="preserve">Total Calls</t>
  </si>
  <si>
    <t xml:space="preserve">Answered Calls</t>
  </si>
  <si>
    <t xml:space="preserve">Abandoned Calls</t>
  </si>
  <si>
    <t xml:space="preserve">Calls within SLA</t>
  </si>
  <si>
    <t xml:space="preserve">Total Handle Time (min)</t>
  </si>
  <si>
    <t xml:space="preserve">Agents On Duty</t>
  </si>
  <si>
    <t xml:space="preserve">Avg Speed of Answer (sec)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</si>
  <si>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</si>
  <si>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</si>
  <si>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</si>
  <si>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</si>
  <si>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</si>
  <si>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</si>
  <si>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</si>
  <si>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</si>
  <si>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</si>
  <si>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</si>
  <si>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</si>
  <si>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</si>
  <si>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📊  CALL CENTER SLA &amp; KPI PERFORMANCE DASHBOARD</t>
  </si>
  <si>
    <t xml:space="preserve">Auto-calculated from Raw Data tab  |  Update raw data to refresh all metrics</t>
  </si>
  <si>
    <t xml:space="preserve">Avg SLA %</t>
  </si>
  <si>
    <t xml:space="preserve">Avg AHT (min)</t>
  </si>
  <si>
    <t xml:space="preserve">Avg Abandonment %</t>
  </si>
  <si>
    <t xml:space="preserve">Avg Occupancy %</t>
  </si>
  <si>
    <t xml:space="preserve">Monthly KPI Breakdown</t>
  </si>
  <si>
    <t xml:space="preserve">Answered</t>
  </si>
  <si>
    <t xml:space="preserve">Abandoned</t>
  </si>
  <si>
    <t xml:space="preserve">SLA %</t>
  </si>
  <si>
    <t xml:space="preserve">AHT (min)</t>
  </si>
  <si>
    <t xml:space="preserve">Abandonment %</t>
  </si>
  <si>
    <t xml:space="preserve">Occupancy %</t>
  </si>
  <si>
    <t xml:space="preserve">Avg Speed Answer</t>
  </si>
  <si>
    <t xml:space="preserve">SLA Status</t>
  </si>
  <si>
    <t xml:space="preserve">Trend</t>
  </si>
  <si>
    <t xml:space="preserve">Action Needed</t>
  </si>
  <si>
    <t xml:space="preserve">—</t>
  </si>
  <si>
    <t xml:space="preserve">Avg Speed Answer (sec)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</si>
</sst>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0.0"/>
    <numFmt numFmtId="168" formatCode="0.0&quot; sec&quot;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1E7145"/>
      <name val="Arial"/>
      <family val="0"/>
      <charset val="1"/>
    </font>
    <font>
      <b val="true"/>
      <sz val="18"/>
      <color rgb="FF7F6000"/>
      <name val="Arial"/>
      <family val="0"/>
      <charset val="1"/>
    </font>
    <font>
      <b val="true"/>
      <sz val="18"/>
      <color rgb="FFC00000"/>
      <name val="Arial"/>
      <family val="0"/>
      <charset val="1"/>
    </font>
    <font>
      <b val="true"/>
      <sz val="18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41719C"/>
      </patternFill>
    </fill>
    <fill>
      <patternFill patternType="solid">
        <fgColor rgb="FFDEEAF1"/>
        <bgColor rgb="FFDAE3F3"/>
      </patternFill>
    </fill>
    <fill>
      <patternFill patternType="solid">
        <fgColor rgb="FFE2F7E9"/>
        <bgColor rgb="FFDEEAF1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DAE3F3"/>
        <bgColor rgb="FFDEEAF1"/>
      </patternFill>
    </fill>
    <fill>
      <patternFill patternType="solid">
        <fgColor rgb="FF41719C"/>
        <bgColor rgb="FF2E75B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1E7145"/>
      <rgbColor rgb="FFC0C0C0"/>
      <rgbColor rgb="FF878787"/>
      <rgbColor rgb="FF9999FF"/>
      <rgbColor rgb="FF993366"/>
      <rgbColor rgb="FFFFF2CC"/>
      <rgbColor rgb="FFE2F7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DAE3F3"/>
      <rgbColor rgb="FFF9F9F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41719C"/>
      <rgbColor rgb="FF4F81BD"/>
      <rgbColor rgb="FF003366"/>
      <rgbColor rgb="FF4A7EBB"/>
      <rgbColor rgb="FF003300"/>
      <rgbColor rgb="FF333300"/>
      <rgbColor rgb="FF993300"/>
      <rgbColor rgb="FF993366"/>
      <rgbColor rgb="FF1F4E7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SLA %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'KPI Calcs'!C1</c:f>
              <c:strCache>
                <c:ptCount val="1"/>
                <c:pt idx="0">
                  <c:v>SLA %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Calcs'!$A$2:$A$13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'KPI Calcs'!$C$2:$C$13</c:f>
              <c:numCache>
                <c:formatCode>0.0%</c:formatCode>
                <c:ptCount val="12"/>
                <c:pt idx="0">
                  <c:v>0.788461538461538</c:v>
                </c:pt>
                <c:pt idx="1">
                  <c:v>0.795918367346939</c:v>
                </c:pt>
                <c:pt idx="2">
                  <c:v>0.810344827586207</c:v>
                </c:pt>
                <c:pt idx="3">
                  <c:v>0.818181818181818</c:v>
                </c:pt>
                <c:pt idx="4">
                  <c:v>0.819672131147541</c:v>
                </c:pt>
                <c:pt idx="5">
                  <c:v>0.828125</c:v>
                </c:pt>
                <c:pt idx="6">
                  <c:v>0.82089552238806</c:v>
                </c:pt>
                <c:pt idx="7">
                  <c:v>0.830769230769231</c:v>
                </c:pt>
                <c:pt idx="8">
                  <c:v>0.824561403508772</c:v>
                </c:pt>
                <c:pt idx="9">
                  <c:v>0.811320754716981</c:v>
                </c:pt>
                <c:pt idx="10">
                  <c:v>0.816666666666667</c:v>
                </c:pt>
                <c:pt idx="11">
                  <c:v>0.816901408450704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1811141"/>
        <c:axId val="74381704"/>
      </c:lineChart>
      <c:catAx>
        <c:axId val="3181114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381704"/>
        <c:crosses val="autoZero"/>
        <c:auto val="1"/>
        <c:lblAlgn val="ctr"/>
        <c:lblOffset val="100"/>
        <c:noMultiLvlLbl val="0"/>
      </c:catAx>
      <c:valAx>
        <c:axId val="743817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SLA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81114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Abandonment Rate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'KPI Calcs'!E1</c:f>
              <c:strCache>
                <c:ptCount val="1"/>
                <c:pt idx="0">
                  <c:v>Abandonment %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Calcs'!$A$2:$A$13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'KPI Calcs'!$E$2:$E$13</c:f>
              <c:numCache>
                <c:formatCode>0.0%</c:formatCode>
                <c:ptCount val="12"/>
                <c:pt idx="0">
                  <c:v>0.0423076923076923</c:v>
                </c:pt>
                <c:pt idx="1">
                  <c:v>0.0387755102040816</c:v>
                </c:pt>
                <c:pt idx="2">
                  <c:v>0.0413793103448276</c:v>
                </c:pt>
                <c:pt idx="3">
                  <c:v>0.04</c:v>
                </c:pt>
                <c:pt idx="4">
                  <c:v>0.039344262295082</c:v>
                </c:pt>
                <c:pt idx="5">
                  <c:v>0.0390625</c:v>
                </c:pt>
                <c:pt idx="6">
                  <c:v>0.0402985074626866</c:v>
                </c:pt>
                <c:pt idx="7">
                  <c:v>0.04</c:v>
                </c:pt>
                <c:pt idx="8">
                  <c:v>0.0385964912280702</c:v>
                </c:pt>
                <c:pt idx="9">
                  <c:v>0.039622641509434</c:v>
                </c:pt>
                <c:pt idx="10">
                  <c:v>0.04</c:v>
                </c:pt>
                <c:pt idx="11">
                  <c:v>0.0394366197183099</c:v>
                </c:pt>
              </c:numCache>
            </c:numRef>
          </c:val>
        </c:ser>
        <c:gapWidth val="150"/>
        <c:overlap val="0"/>
        <c:axId val="51332829"/>
        <c:axId val="14612881"/>
      </c:barChart>
      <c:catAx>
        <c:axId val="513328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612881"/>
        <c:crosses val="autoZero"/>
        <c:auto val="1"/>
        <c:lblAlgn val="ctr"/>
        <c:lblOffset val="100"/>
        <c:noMultiLvlLbl val="0"/>
      </c:catAx>
      <c:valAx>
        <c:axId val="146128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Abandonment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3328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22</xdr:row>
      <xdr:rowOff>0</xdr:rowOff>
    </xdr:from>
    <xdr:to>
      <xdr:col>7</xdr:col>
      <xdr:colOff>699840</xdr:colOff>
      <xdr:row>39</xdr:row>
      <xdr:rowOff>109800</xdr:rowOff>
    </xdr:to>
    <xdr:graphicFrame>
      <xdr:nvGraphicFramePr>
        <xdr:cNvPr id="0" name="Chart 1"/>
        <xdr:cNvGraphicFramePr/>
      </xdr:nvGraphicFramePr>
      <xdr:xfrm>
        <a:off x="0" y="628668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22</xdr:row>
      <xdr:rowOff>0</xdr:rowOff>
    </xdr:from>
    <xdr:to>
      <xdr:col>17</xdr:col>
      <xdr:colOff>461520</xdr:colOff>
      <xdr:row>39</xdr:row>
      <xdr:rowOff>109800</xdr:rowOff>
    </xdr:to>
    <xdr:graphicFrame>
      <xdr:nvGraphicFramePr>
        <xdr:cNvPr id="1" name="Chart 2"/>
        <xdr:cNvGraphicFramePr/>
      </xdr:nvGraphicFramePr>
      <xdr:xfrm>
        <a:off x="7964640" y="628668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16"/>
    <col collapsed="false" customWidth="true" hidden="false" outlineLevel="0" max="8" min="8" style="0" width="24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36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customFormat="false" ht="15" hidden="false" customHeight="false" outlineLevel="0" collapsed="false">
      <c r="A4" s="3" t="s">
        <v>9</v>
      </c>
      <c r="B4" s="4" t="n">
        <v>5200</v>
      </c>
      <c r="C4" s="4" t="n">
        <v>4980</v>
      </c>
      <c r="D4" s="4" t="n">
        <v>220</v>
      </c>
      <c r="E4" s="4" t="n">
        <v>4100</v>
      </c>
      <c r="F4" s="4" t="n">
        <v>32370</v>
      </c>
      <c r="G4" s="3" t="n">
        <v>22</v>
      </c>
      <c r="H4" s="3" t="n">
        <v>18</v>
      </c>
    </row>
    <row r="5" customFormat="false" ht="15" hidden="false" customHeight="false" outlineLevel="0" collapsed="false">
      <c r="A5" s="5" t="s">
        <v>10</v>
      </c>
      <c r="B5" s="6" t="n">
        <v>4900</v>
      </c>
      <c r="C5" s="6" t="n">
        <v>4710</v>
      </c>
      <c r="D5" s="6" t="n">
        <v>190</v>
      </c>
      <c r="E5" s="6" t="n">
        <v>3900</v>
      </c>
      <c r="F5" s="6" t="n">
        <v>30660</v>
      </c>
      <c r="G5" s="5" t="n">
        <v>21</v>
      </c>
      <c r="H5" s="5" t="n">
        <v>16</v>
      </c>
    </row>
    <row r="6" customFormat="false" ht="15" hidden="false" customHeight="false" outlineLevel="0" collapsed="false">
      <c r="A6" s="3" t="s">
        <v>11</v>
      </c>
      <c r="B6" s="4" t="n">
        <v>5800</v>
      </c>
      <c r="C6" s="4" t="n">
        <v>5560</v>
      </c>
      <c r="D6" s="4" t="n">
        <v>240</v>
      </c>
      <c r="E6" s="4" t="n">
        <v>4700</v>
      </c>
      <c r="F6" s="4" t="n">
        <v>36140</v>
      </c>
      <c r="G6" s="3" t="n">
        <v>24</v>
      </c>
      <c r="H6" s="3" t="n">
        <v>19</v>
      </c>
    </row>
    <row r="7" customFormat="false" ht="15" hidden="false" customHeight="false" outlineLevel="0" collapsed="false">
      <c r="A7" s="5" t="s">
        <v>12</v>
      </c>
      <c r="B7" s="6" t="n">
        <v>5500</v>
      </c>
      <c r="C7" s="6" t="n">
        <v>5280</v>
      </c>
      <c r="D7" s="6" t="n">
        <v>220</v>
      </c>
      <c r="E7" s="6" t="n">
        <v>4500</v>
      </c>
      <c r="F7" s="6" t="n">
        <v>34320</v>
      </c>
      <c r="G7" s="5" t="n">
        <v>23</v>
      </c>
      <c r="H7" s="5" t="n">
        <v>17</v>
      </c>
    </row>
    <row r="8" customFormat="false" ht="15" hidden="false" customHeight="false" outlineLevel="0" collapsed="false">
      <c r="A8" s="3" t="s">
        <v>13</v>
      </c>
      <c r="B8" s="4" t="n">
        <v>6100</v>
      </c>
      <c r="C8" s="4" t="n">
        <v>5860</v>
      </c>
      <c r="D8" s="4" t="n">
        <v>240</v>
      </c>
      <c r="E8" s="4" t="n">
        <v>5000</v>
      </c>
      <c r="F8" s="4" t="n">
        <v>38070</v>
      </c>
      <c r="G8" s="3" t="n">
        <v>26</v>
      </c>
      <c r="H8" s="3" t="n">
        <v>20</v>
      </c>
    </row>
    <row r="9" customFormat="false" ht="15" hidden="false" customHeight="false" outlineLevel="0" collapsed="false">
      <c r="A9" s="5" t="s">
        <v>14</v>
      </c>
      <c r="B9" s="6" t="n">
        <v>6400</v>
      </c>
      <c r="C9" s="6" t="n">
        <v>6150</v>
      </c>
      <c r="D9" s="6" t="n">
        <v>250</v>
      </c>
      <c r="E9" s="6" t="n">
        <v>5300</v>
      </c>
      <c r="F9" s="6" t="n">
        <v>40050</v>
      </c>
      <c r="G9" s="5" t="n">
        <v>27</v>
      </c>
      <c r="H9" s="5" t="n">
        <v>21</v>
      </c>
    </row>
    <row r="10" customFormat="false" ht="15" hidden="false" customHeight="false" outlineLevel="0" collapsed="false">
      <c r="A10" s="3" t="s">
        <v>15</v>
      </c>
      <c r="B10" s="4" t="n">
        <v>6700</v>
      </c>
      <c r="C10" s="4" t="n">
        <v>6430</v>
      </c>
      <c r="D10" s="4" t="n">
        <v>270</v>
      </c>
      <c r="E10" s="4" t="n">
        <v>5500</v>
      </c>
      <c r="F10" s="4" t="n">
        <v>41900</v>
      </c>
      <c r="G10" s="3" t="n">
        <v>28</v>
      </c>
      <c r="H10" s="3" t="n">
        <v>22</v>
      </c>
    </row>
    <row r="11" customFormat="false" ht="15" hidden="false" customHeight="false" outlineLevel="0" collapsed="false">
      <c r="A11" s="5" t="s">
        <v>16</v>
      </c>
      <c r="B11" s="6" t="n">
        <v>6500</v>
      </c>
      <c r="C11" s="6" t="n">
        <v>6240</v>
      </c>
      <c r="D11" s="6" t="n">
        <v>260</v>
      </c>
      <c r="E11" s="6" t="n">
        <v>5400</v>
      </c>
      <c r="F11" s="6" t="n">
        <v>40560</v>
      </c>
      <c r="G11" s="5" t="n">
        <v>27</v>
      </c>
      <c r="H11" s="5" t="n">
        <v>21</v>
      </c>
    </row>
    <row r="12" customFormat="false" ht="15" hidden="false" customHeight="false" outlineLevel="0" collapsed="false">
      <c r="A12" s="3" t="s">
        <v>17</v>
      </c>
      <c r="B12" s="4" t="n">
        <v>5700</v>
      </c>
      <c r="C12" s="4" t="n">
        <v>5480</v>
      </c>
      <c r="D12" s="4" t="n">
        <v>220</v>
      </c>
      <c r="E12" s="4" t="n">
        <v>4700</v>
      </c>
      <c r="F12" s="4" t="n">
        <v>35490</v>
      </c>
      <c r="G12" s="3" t="n">
        <v>24</v>
      </c>
      <c r="H12" s="3" t="n">
        <v>19</v>
      </c>
    </row>
    <row r="13" customFormat="false" ht="15" hidden="false" customHeight="false" outlineLevel="0" collapsed="false">
      <c r="A13" s="5" t="s">
        <v>18</v>
      </c>
      <c r="B13" s="6" t="n">
        <v>5300</v>
      </c>
      <c r="C13" s="6" t="n">
        <v>5090</v>
      </c>
      <c r="D13" s="6" t="n">
        <v>210</v>
      </c>
      <c r="E13" s="6" t="n">
        <v>4300</v>
      </c>
      <c r="F13" s="6" t="n">
        <v>33060</v>
      </c>
      <c r="G13" s="5" t="n">
        <v>22</v>
      </c>
      <c r="H13" s="5" t="n">
        <v>17</v>
      </c>
    </row>
    <row r="14" customFormat="false" ht="15" hidden="false" customHeight="false" outlineLevel="0" collapsed="false">
      <c r="A14" s="3" t="s">
        <v>19</v>
      </c>
      <c r="B14" s="4" t="n">
        <v>6000</v>
      </c>
      <c r="C14" s="4" t="n">
        <v>5760</v>
      </c>
      <c r="D14" s="4" t="n">
        <v>240</v>
      </c>
      <c r="E14" s="4" t="n">
        <v>4900</v>
      </c>
      <c r="F14" s="4" t="n">
        <v>37440</v>
      </c>
      <c r="G14" s="3" t="n">
        <v>25</v>
      </c>
      <c r="H14" s="3" t="n">
        <v>20</v>
      </c>
    </row>
    <row r="15" customFormat="false" ht="15" hidden="false" customHeight="false" outlineLevel="0" collapsed="false">
      <c r="A15" s="5" t="s">
        <v>20</v>
      </c>
      <c r="B15" s="6" t="n">
        <v>7100</v>
      </c>
      <c r="C15" s="6" t="n">
        <v>6820</v>
      </c>
      <c r="D15" s="6" t="n">
        <v>280</v>
      </c>
      <c r="E15" s="6" t="n">
        <v>5800</v>
      </c>
      <c r="F15" s="6" t="n">
        <v>44310</v>
      </c>
      <c r="G15" s="5" t="n">
        <v>30</v>
      </c>
      <c r="H15" s="5" t="n">
        <v>24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4" min="3" style="0" width="12"/>
    <col collapsed="false" customWidth="true" hidden="false" outlineLevel="0" max="6" min="5" style="0" width="10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9" min="9" style="0" width="18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20"/>
  </cols>
  <sheetData>
    <row r="1" customFormat="false" ht="42" hidden="false" customHeight="true" outlineLevel="0" collapsed="false">
      <c r="A1" s="7" t="s">
        <v>21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customFormat="false" ht="19.5" hidden="false" customHeight="true" outlineLevel="0" collapsed="false">
      <c r="A2" s="8" t="s">
        <v>22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customFormat="false" ht="19.5" hidden="false" customHeight="true" outlineLevel="0" collapsed="false"/>
    <row r="4" customFormat="false" ht="19.5" hidden="false" customHeight="true" outlineLevel="0" collapsed="false">
      <c r="A4" s="9" t="s">
        <v>23</v>
      </c>
      <c r="B4" s="9"/>
      <c r="C4" s="9"/>
      <c r="D4" s="10" t="s">
        <v>24</v>
      </c>
      <c r="E4" s="10"/>
      <c r="F4" s="10"/>
      <c r="G4" s="11" t="s">
        <v>25</v>
      </c>
      <c r="H4" s="11"/>
      <c r="I4" s="11"/>
      <c r="J4" s="12" t="s">
        <v>26</v>
      </c>
      <c r="K4" s="12"/>
      <c r="L4" s="12"/>
    </row>
    <row r="5" customFormat="false" ht="36" hidden="false" customHeight="true" outlineLevel="0" collapsed="false">
      <c r="A5" s="13" t="n">
        <f aca="false">AVERAGE('KPI Calcs'!C2:C13)</f>
        <v>0.815151555768705</v>
      </c>
      <c r="B5" s="13"/>
      <c r="C5" s="13"/>
      <c r="D5" s="14" t="n">
        <f aca="false">AVERAGE('KPI Calcs'!D2:D13)</f>
        <v>6.50025826890775</v>
      </c>
      <c r="E5" s="14"/>
      <c r="F5" s="14"/>
      <c r="G5" s="15" t="n">
        <f aca="false">AVERAGE('KPI Calcs'!E2:E13)</f>
        <v>0.0399019612558487</v>
      </c>
      <c r="H5" s="15"/>
      <c r="I5" s="15"/>
      <c r="J5" s="16" t="n">
        <f aca="false">AVERAGE('KPI Calcs'!F2:F13)</f>
        <v>3.09577483536157</v>
      </c>
      <c r="K5" s="16"/>
      <c r="L5" s="16"/>
    </row>
    <row r="6" customFormat="false" ht="36" hidden="false" customHeight="true" outlineLevel="0" collapsed="false">
      <c r="A6" s="13"/>
      <c r="B6" s="13"/>
      <c r="C6" s="13"/>
      <c r="D6" s="14"/>
      <c r="E6" s="14"/>
      <c r="F6" s="14"/>
      <c r="G6" s="15"/>
      <c r="H6" s="15"/>
      <c r="I6" s="15"/>
      <c r="J6" s="16"/>
      <c r="K6" s="16"/>
      <c r="L6" s="16"/>
    </row>
    <row r="7" customFormat="false" ht="19.5" hidden="false" customHeight="true" outlineLevel="0" collapsed="false"/>
    <row r="8" customFormat="false" ht="19.5" hidden="false" customHeight="true" outlineLevel="0" collapsed="false">
      <c r="A8" s="17" t="s">
        <v>27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</row>
    <row r="9" customFormat="false" ht="30" hidden="false" customHeight="true" outlineLevel="0" collapsed="false">
      <c r="A9" s="18" t="s">
        <v>1</v>
      </c>
      <c r="B9" s="18" t="s">
        <v>2</v>
      </c>
      <c r="C9" s="18" t="s">
        <v>28</v>
      </c>
      <c r="D9" s="18" t="s">
        <v>29</v>
      </c>
      <c r="E9" s="18" t="s">
        <v>30</v>
      </c>
      <c r="F9" s="18" t="s">
        <v>31</v>
      </c>
      <c r="G9" s="18" t="s">
        <v>32</v>
      </c>
      <c r="H9" s="18" t="s">
        <v>33</v>
      </c>
      <c r="I9" s="18" t="s">
        <v>34</v>
      </c>
      <c r="J9" s="18" t="s">
        <v>35</v>
      </c>
      <c r="K9" s="18" t="s">
        <v>36</v>
      </c>
      <c r="L9" s="18" t="s">
        <v>37</v>
      </c>
    </row>
    <row r="10" customFormat="false" ht="19.5" hidden="false" customHeight="true" outlineLevel="0" collapsed="false">
      <c r="A10" s="19" t="str">
        <f aca="false">'KPI Calcs'!A2</f>
        <v>Jan</v>
      </c>
      <c r="B10" s="20" t="n">
        <f aca="false">'KPI Calcs'!B2</f>
        <v>5200</v>
      </c>
      <c r="C10" s="20" t="n">
        <f aca="false">'KPI Calcs'!C2</f>
        <v>0.788461538461538</v>
      </c>
      <c r="D10" s="20" t="n">
        <f aca="false">'KPI Calcs'!D2</f>
        <v>6.5</v>
      </c>
      <c r="E10" s="21" t="n">
        <f aca="false">'KPI Calcs'!E2</f>
        <v>0.0423076923076923</v>
      </c>
      <c r="F10" s="22" t="n">
        <f aca="false">'KPI Calcs'!F2</f>
        <v>3.06534090909091</v>
      </c>
      <c r="G10" s="21" t="n">
        <f aca="false">'KPI Calcs'!G2</f>
        <v>18</v>
      </c>
      <c r="H10" s="21" t="n">
        <f aca="false">'KPI Calcs'!H2</f>
        <v>4980</v>
      </c>
      <c r="I10" s="23" t="n">
        <f aca="false">'KPI Calcs'!I2</f>
        <v>220</v>
      </c>
      <c r="J10" s="24" t="str">
        <f aca="false">IF(E10&gt;=0.8,"✅ Met",IF(E10&gt;=0.75,"⚠️ Near Miss","🔴 Missed"))</f>
        <v>🔴 Missed</v>
      </c>
      <c r="K10" s="24" t="s">
        <v>38</v>
      </c>
      <c r="L10" s="25" t="str">
        <f aca="false">IF(G10&gt;0.05,"Review staffing levels",IF(F10&gt;8,"Check AHT coaching","On Track"))</f>
        <v>Review staffing levels</v>
      </c>
    </row>
    <row r="11" customFormat="false" ht="19.5" hidden="false" customHeight="true" outlineLevel="0" collapsed="false">
      <c r="A11" s="26" t="str">
        <f aca="false">'KPI Calcs'!A3</f>
        <v>Feb</v>
      </c>
      <c r="B11" s="27" t="n">
        <f aca="false">'KPI Calcs'!B3</f>
        <v>4900</v>
      </c>
      <c r="C11" s="27" t="n">
        <f aca="false">'KPI Calcs'!C3</f>
        <v>0.795918367346939</v>
      </c>
      <c r="D11" s="27" t="n">
        <f aca="false">'KPI Calcs'!D3</f>
        <v>6.50955414012739</v>
      </c>
      <c r="E11" s="28" t="n">
        <f aca="false">'KPI Calcs'!E3</f>
        <v>0.0387755102040816</v>
      </c>
      <c r="F11" s="29" t="n">
        <f aca="false">'KPI Calcs'!F3</f>
        <v>3.04166666666667</v>
      </c>
      <c r="G11" s="28" t="n">
        <f aca="false">'KPI Calcs'!G3</f>
        <v>16</v>
      </c>
      <c r="H11" s="28" t="n">
        <f aca="false">'KPI Calcs'!H3</f>
        <v>4710</v>
      </c>
      <c r="I11" s="30" t="n">
        <f aca="false">'KPI Calcs'!I3</f>
        <v>190</v>
      </c>
      <c r="J11" s="31" t="str">
        <f aca="false">IF(E11&gt;=0.8,"✅ Met",IF(E11&gt;=0.75,"⚠️ Near Miss","🔴 Missed"))</f>
        <v>🔴 Missed</v>
      </c>
      <c r="K11" s="31" t="str">
        <f aca="false">IF(E11&gt;E10,"📈 Up",IF(E11&lt;E10,"📉 Down","➡️ Flat"))</f>
        <v>📉 Down</v>
      </c>
      <c r="L11" s="32" t="str">
        <f aca="false">IF(G11&gt;0.05,"Review staffing levels",IF(F11&gt;8,"Check AHT coaching","On Track"))</f>
        <v>Review staffing levels</v>
      </c>
    </row>
    <row r="12" customFormat="false" ht="19.5" hidden="false" customHeight="true" outlineLevel="0" collapsed="false">
      <c r="A12" s="19" t="str">
        <f aca="false">'KPI Calcs'!A4</f>
        <v>Mar</v>
      </c>
      <c r="B12" s="20" t="n">
        <f aca="false">'KPI Calcs'!B4</f>
        <v>5800</v>
      </c>
      <c r="C12" s="20" t="n">
        <f aca="false">'KPI Calcs'!C4</f>
        <v>0.810344827586207</v>
      </c>
      <c r="D12" s="20" t="n">
        <f aca="false">'KPI Calcs'!D4</f>
        <v>6.5</v>
      </c>
      <c r="E12" s="21" t="n">
        <f aca="false">'KPI Calcs'!E4</f>
        <v>0.0413793103448276</v>
      </c>
      <c r="F12" s="22" t="n">
        <f aca="false">'KPI Calcs'!F4</f>
        <v>3.13715277777778</v>
      </c>
      <c r="G12" s="21" t="n">
        <f aca="false">'KPI Calcs'!G4</f>
        <v>19</v>
      </c>
      <c r="H12" s="21" t="n">
        <f aca="false">'KPI Calcs'!H4</f>
        <v>5560</v>
      </c>
      <c r="I12" s="23" t="n">
        <f aca="false">'KPI Calcs'!I4</f>
        <v>240</v>
      </c>
      <c r="J12" s="24" t="str">
        <f aca="false">IF(E12&gt;=0.8,"✅ Met",IF(E12&gt;=0.75,"⚠️ Near Miss","🔴 Missed"))</f>
        <v>🔴 Missed</v>
      </c>
      <c r="K12" s="24" t="str">
        <f aca="false">IF(E12&gt;E11,"📈 Up",IF(E12&lt;E11,"📉 Down","➡️ Flat"))</f>
        <v>📈 Up</v>
      </c>
      <c r="L12" s="25" t="str">
        <f aca="false">IF(G12&gt;0.05,"Review staffing levels",IF(F12&gt;8,"Check AHT coaching","On Track"))</f>
        <v>Review staffing levels</v>
      </c>
    </row>
    <row r="13" customFormat="false" ht="19.5" hidden="false" customHeight="true" outlineLevel="0" collapsed="false">
      <c r="A13" s="26" t="str">
        <f aca="false">'KPI Calcs'!A5</f>
        <v>Apr</v>
      </c>
      <c r="B13" s="27" t="n">
        <f aca="false">'KPI Calcs'!B5</f>
        <v>5500</v>
      </c>
      <c r="C13" s="27" t="n">
        <f aca="false">'KPI Calcs'!C5</f>
        <v>0.818181818181818</v>
      </c>
      <c r="D13" s="27" t="n">
        <f aca="false">'KPI Calcs'!D5</f>
        <v>6.5</v>
      </c>
      <c r="E13" s="28" t="n">
        <f aca="false">'KPI Calcs'!E5</f>
        <v>0.04</v>
      </c>
      <c r="F13" s="29" t="n">
        <f aca="false">'KPI Calcs'!F5</f>
        <v>3.10869565217391</v>
      </c>
      <c r="G13" s="28" t="n">
        <f aca="false">'KPI Calcs'!G5</f>
        <v>17</v>
      </c>
      <c r="H13" s="28" t="n">
        <f aca="false">'KPI Calcs'!H5</f>
        <v>5280</v>
      </c>
      <c r="I13" s="30" t="n">
        <f aca="false">'KPI Calcs'!I5</f>
        <v>220</v>
      </c>
      <c r="J13" s="31" t="str">
        <f aca="false">IF(E13&gt;=0.8,"✅ Met",IF(E13&gt;=0.75,"⚠️ Near Miss","🔴 Missed"))</f>
        <v>🔴 Missed</v>
      </c>
      <c r="K13" s="31" t="str">
        <f aca="false">IF(E13&gt;E12,"📈 Up",IF(E13&lt;E12,"📉 Down","➡️ Flat"))</f>
        <v>📉 Down</v>
      </c>
      <c r="L13" s="32" t="str">
        <f aca="false">IF(G13&gt;0.05,"Review staffing levels",IF(F13&gt;8,"Check AHT coaching","On Track"))</f>
        <v>Review staffing levels</v>
      </c>
    </row>
    <row r="14" customFormat="false" ht="19.5" hidden="false" customHeight="true" outlineLevel="0" collapsed="false">
      <c r="A14" s="19" t="str">
        <f aca="false">'KPI Calcs'!A6</f>
        <v>May</v>
      </c>
      <c r="B14" s="20" t="n">
        <f aca="false">'KPI Calcs'!B6</f>
        <v>6100</v>
      </c>
      <c r="C14" s="20" t="n">
        <f aca="false">'KPI Calcs'!C6</f>
        <v>0.819672131147541</v>
      </c>
      <c r="D14" s="20" t="n">
        <f aca="false">'KPI Calcs'!D6</f>
        <v>6.49658703071672</v>
      </c>
      <c r="E14" s="21" t="n">
        <f aca="false">'KPI Calcs'!E6</f>
        <v>0.039344262295082</v>
      </c>
      <c r="F14" s="22" t="n">
        <f aca="false">'KPI Calcs'!F6</f>
        <v>3.05048076923077</v>
      </c>
      <c r="G14" s="21" t="n">
        <f aca="false">'KPI Calcs'!G6</f>
        <v>20</v>
      </c>
      <c r="H14" s="21" t="n">
        <f aca="false">'KPI Calcs'!H6</f>
        <v>5860</v>
      </c>
      <c r="I14" s="23" t="n">
        <f aca="false">'KPI Calcs'!I6</f>
        <v>240</v>
      </c>
      <c r="J14" s="24" t="str">
        <f aca="false">IF(E14&gt;=0.8,"✅ Met",IF(E14&gt;=0.75,"⚠️ Near Miss","🔴 Missed"))</f>
        <v>🔴 Missed</v>
      </c>
      <c r="K14" s="24" t="str">
        <f aca="false">IF(E14&gt;E13,"📈 Up",IF(E14&lt;E13,"📉 Down","➡️ Flat"))</f>
        <v>📉 Down</v>
      </c>
      <c r="L14" s="25" t="str">
        <f aca="false">IF(G14&gt;0.05,"Review staffing levels",IF(F14&gt;8,"Check AHT coaching","On Track"))</f>
        <v>Review staffing levels</v>
      </c>
    </row>
    <row r="15" customFormat="false" ht="19.5" hidden="false" customHeight="true" outlineLevel="0" collapsed="false">
      <c r="A15" s="26" t="str">
        <f aca="false">'KPI Calcs'!A7</f>
        <v>Jun</v>
      </c>
      <c r="B15" s="27" t="n">
        <f aca="false">'KPI Calcs'!B7</f>
        <v>6400</v>
      </c>
      <c r="C15" s="27" t="n">
        <f aca="false">'KPI Calcs'!C7</f>
        <v>0.828125</v>
      </c>
      <c r="D15" s="27" t="n">
        <f aca="false">'KPI Calcs'!D7</f>
        <v>6.51219512195122</v>
      </c>
      <c r="E15" s="28" t="n">
        <f aca="false">'KPI Calcs'!E7</f>
        <v>0.0390625</v>
      </c>
      <c r="F15" s="29" t="n">
        <f aca="false">'KPI Calcs'!F7</f>
        <v>3.09027777777778</v>
      </c>
      <c r="G15" s="28" t="n">
        <f aca="false">'KPI Calcs'!G7</f>
        <v>21</v>
      </c>
      <c r="H15" s="28" t="n">
        <f aca="false">'KPI Calcs'!H7</f>
        <v>6150</v>
      </c>
      <c r="I15" s="30" t="n">
        <f aca="false">'KPI Calcs'!I7</f>
        <v>250</v>
      </c>
      <c r="J15" s="31" t="str">
        <f aca="false">IF(E15&gt;=0.8,"✅ Met",IF(E15&gt;=0.75,"⚠️ Near Miss","🔴 Missed"))</f>
        <v>🔴 Missed</v>
      </c>
      <c r="K15" s="31" t="str">
        <f aca="false">IF(E15&gt;E14,"📈 Up",IF(E15&lt;E14,"📉 Down","➡️ Flat"))</f>
        <v>📉 Down</v>
      </c>
      <c r="L15" s="32" t="str">
        <f aca="false">IF(G15&gt;0.05,"Review staffing levels",IF(F15&gt;8,"Check AHT coaching","On Track"))</f>
        <v>Review staffing levels</v>
      </c>
    </row>
    <row r="16" customFormat="false" ht="19.5" hidden="false" customHeight="true" outlineLevel="0" collapsed="false">
      <c r="A16" s="19" t="str">
        <f aca="false">'KPI Calcs'!A8</f>
        <v>Jul</v>
      </c>
      <c r="B16" s="20" t="n">
        <f aca="false">'KPI Calcs'!B8</f>
        <v>6700</v>
      </c>
      <c r="C16" s="20" t="n">
        <f aca="false">'KPI Calcs'!C8</f>
        <v>0.82089552238806</v>
      </c>
      <c r="D16" s="20" t="n">
        <f aca="false">'KPI Calcs'!D8</f>
        <v>6.51632970451011</v>
      </c>
      <c r="E16" s="21" t="n">
        <f aca="false">'KPI Calcs'!E8</f>
        <v>0.0402985074626866</v>
      </c>
      <c r="F16" s="22" t="n">
        <f aca="false">'KPI Calcs'!F8</f>
        <v>3.11755952380952</v>
      </c>
      <c r="G16" s="21" t="n">
        <f aca="false">'KPI Calcs'!G8</f>
        <v>22</v>
      </c>
      <c r="H16" s="21" t="n">
        <f aca="false">'KPI Calcs'!H8</f>
        <v>6430</v>
      </c>
      <c r="I16" s="23" t="n">
        <f aca="false">'KPI Calcs'!I8</f>
        <v>270</v>
      </c>
      <c r="J16" s="24" t="str">
        <f aca="false">IF(E16&gt;=0.8,"✅ Met",IF(E16&gt;=0.75,"⚠️ Near Miss","🔴 Missed"))</f>
        <v>🔴 Missed</v>
      </c>
      <c r="K16" s="24" t="str">
        <f aca="false">IF(E16&gt;E15,"📈 Up",IF(E16&lt;E15,"📉 Down","➡️ Flat"))</f>
        <v>📈 Up</v>
      </c>
      <c r="L16" s="25" t="str">
        <f aca="false">IF(G16&gt;0.05,"Review staffing levels",IF(F16&gt;8,"Check AHT coaching","On Track"))</f>
        <v>Review staffing levels</v>
      </c>
    </row>
    <row r="17" customFormat="false" ht="19.5" hidden="false" customHeight="true" outlineLevel="0" collapsed="false">
      <c r="A17" s="26" t="str">
        <f aca="false">'KPI Calcs'!A9</f>
        <v>Aug</v>
      </c>
      <c r="B17" s="27" t="n">
        <f aca="false">'KPI Calcs'!B9</f>
        <v>6500</v>
      </c>
      <c r="C17" s="27" t="n">
        <f aca="false">'KPI Calcs'!C9</f>
        <v>0.830769230769231</v>
      </c>
      <c r="D17" s="27" t="n">
        <f aca="false">'KPI Calcs'!D9</f>
        <v>6.5</v>
      </c>
      <c r="E17" s="28" t="n">
        <f aca="false">'KPI Calcs'!E9</f>
        <v>0.04</v>
      </c>
      <c r="F17" s="29" t="n">
        <f aca="false">'KPI Calcs'!F9</f>
        <v>3.12962962962963</v>
      </c>
      <c r="G17" s="28" t="n">
        <f aca="false">'KPI Calcs'!G9</f>
        <v>21</v>
      </c>
      <c r="H17" s="28" t="n">
        <f aca="false">'KPI Calcs'!H9</f>
        <v>6240</v>
      </c>
      <c r="I17" s="30" t="n">
        <f aca="false">'KPI Calcs'!I9</f>
        <v>260</v>
      </c>
      <c r="J17" s="31" t="str">
        <f aca="false">IF(E17&gt;=0.8,"✅ Met",IF(E17&gt;=0.75,"⚠️ Near Miss","🔴 Missed"))</f>
        <v>🔴 Missed</v>
      </c>
      <c r="K17" s="31" t="str">
        <f aca="false">IF(E17&gt;E16,"📈 Up",IF(E17&lt;E16,"📉 Down","➡️ Flat"))</f>
        <v>📉 Down</v>
      </c>
      <c r="L17" s="32" t="str">
        <f aca="false">IF(G17&gt;0.05,"Review staffing levels",IF(F17&gt;8,"Check AHT coaching","On Track"))</f>
        <v>Review staffing levels</v>
      </c>
    </row>
    <row r="18" customFormat="false" ht="19.5" hidden="false" customHeight="true" outlineLevel="0" collapsed="false">
      <c r="A18" s="19" t="str">
        <f aca="false">'KPI Calcs'!A10</f>
        <v>Sep</v>
      </c>
      <c r="B18" s="20" t="n">
        <f aca="false">'KPI Calcs'!B10</f>
        <v>5700</v>
      </c>
      <c r="C18" s="20" t="n">
        <f aca="false">'KPI Calcs'!C10</f>
        <v>0.824561403508772</v>
      </c>
      <c r="D18" s="20" t="n">
        <f aca="false">'KPI Calcs'!D10</f>
        <v>6.47627737226277</v>
      </c>
      <c r="E18" s="21" t="n">
        <f aca="false">'KPI Calcs'!E10</f>
        <v>0.0385964912280702</v>
      </c>
      <c r="F18" s="22" t="n">
        <f aca="false">'KPI Calcs'!F10</f>
        <v>3.08072916666667</v>
      </c>
      <c r="G18" s="21" t="n">
        <f aca="false">'KPI Calcs'!G10</f>
        <v>19</v>
      </c>
      <c r="H18" s="21" t="n">
        <f aca="false">'KPI Calcs'!H10</f>
        <v>5480</v>
      </c>
      <c r="I18" s="23" t="n">
        <f aca="false">'KPI Calcs'!I10</f>
        <v>220</v>
      </c>
      <c r="J18" s="24" t="str">
        <f aca="false">IF(E18&gt;=0.8,"✅ Met",IF(E18&gt;=0.75,"⚠️ Near Miss","🔴 Missed"))</f>
        <v>🔴 Missed</v>
      </c>
      <c r="K18" s="24" t="str">
        <f aca="false">IF(E18&gt;E17,"📈 Up",IF(E18&lt;E17,"📉 Down","➡️ Flat"))</f>
        <v>📉 Down</v>
      </c>
      <c r="L18" s="25" t="str">
        <f aca="false">IF(G18&gt;0.05,"Review staffing levels",IF(F18&gt;8,"Check AHT coaching","On Track"))</f>
        <v>Review staffing levels</v>
      </c>
    </row>
    <row r="19" customFormat="false" ht="19.5" hidden="false" customHeight="true" outlineLevel="0" collapsed="false">
      <c r="A19" s="26" t="str">
        <f aca="false">'KPI Calcs'!A11</f>
        <v>Oct</v>
      </c>
      <c r="B19" s="27" t="n">
        <f aca="false">'KPI Calcs'!B11</f>
        <v>5300</v>
      </c>
      <c r="C19" s="27" t="n">
        <f aca="false">'KPI Calcs'!C11</f>
        <v>0.811320754716981</v>
      </c>
      <c r="D19" s="27" t="n">
        <f aca="false">'KPI Calcs'!D11</f>
        <v>6.4950884086444</v>
      </c>
      <c r="E19" s="28" t="n">
        <f aca="false">'KPI Calcs'!E11</f>
        <v>0.039622641509434</v>
      </c>
      <c r="F19" s="29" t="n">
        <f aca="false">'KPI Calcs'!F11</f>
        <v>3.13068181818182</v>
      </c>
      <c r="G19" s="28" t="n">
        <f aca="false">'KPI Calcs'!G11</f>
        <v>17</v>
      </c>
      <c r="H19" s="28" t="n">
        <f aca="false">'KPI Calcs'!H11</f>
        <v>5090</v>
      </c>
      <c r="I19" s="30" t="n">
        <f aca="false">'KPI Calcs'!I11</f>
        <v>210</v>
      </c>
      <c r="J19" s="31" t="str">
        <f aca="false">IF(E19&gt;=0.8,"✅ Met",IF(E19&gt;=0.75,"⚠️ Near Miss","🔴 Missed"))</f>
        <v>🔴 Missed</v>
      </c>
      <c r="K19" s="31" t="str">
        <f aca="false">IF(E19&gt;E18,"📈 Up",IF(E19&lt;E18,"📉 Down","➡️ Flat"))</f>
        <v>📈 Up</v>
      </c>
      <c r="L19" s="32" t="str">
        <f aca="false">IF(G19&gt;0.05,"Review staffing levels",IF(F19&gt;8,"Check AHT coaching","On Track"))</f>
        <v>Review staffing levels</v>
      </c>
    </row>
    <row r="20" customFormat="false" ht="19.5" hidden="false" customHeight="true" outlineLevel="0" collapsed="false">
      <c r="A20" s="19" t="str">
        <f aca="false">'KPI Calcs'!A12</f>
        <v>Nov</v>
      </c>
      <c r="B20" s="20" t="n">
        <f aca="false">'KPI Calcs'!B12</f>
        <v>6000</v>
      </c>
      <c r="C20" s="20" t="n">
        <f aca="false">'KPI Calcs'!C12</f>
        <v>0.816666666666667</v>
      </c>
      <c r="D20" s="20" t="n">
        <f aca="false">'KPI Calcs'!D12</f>
        <v>6.5</v>
      </c>
      <c r="E20" s="21" t="n">
        <f aca="false">'KPI Calcs'!E12</f>
        <v>0.04</v>
      </c>
      <c r="F20" s="22" t="n">
        <f aca="false">'KPI Calcs'!F12</f>
        <v>3.12</v>
      </c>
      <c r="G20" s="21" t="n">
        <f aca="false">'KPI Calcs'!G12</f>
        <v>20</v>
      </c>
      <c r="H20" s="21" t="n">
        <f aca="false">'KPI Calcs'!H12</f>
        <v>5760</v>
      </c>
      <c r="I20" s="23" t="n">
        <f aca="false">'KPI Calcs'!I12</f>
        <v>240</v>
      </c>
      <c r="J20" s="24" t="str">
        <f aca="false">IF(E20&gt;=0.8,"✅ Met",IF(E20&gt;=0.75,"⚠️ Near Miss","🔴 Missed"))</f>
        <v>🔴 Missed</v>
      </c>
      <c r="K20" s="24" t="str">
        <f aca="false">IF(E20&gt;E19,"📈 Up",IF(E20&lt;E19,"📉 Down","➡️ Flat"))</f>
        <v>📈 Up</v>
      </c>
      <c r="L20" s="25" t="str">
        <f aca="false">IF(G20&gt;0.05,"Review staffing levels",IF(F20&gt;8,"Check AHT coaching","On Track"))</f>
        <v>Review staffing levels</v>
      </c>
    </row>
    <row r="21" customFormat="false" ht="19.5" hidden="false" customHeight="true" outlineLevel="0" collapsed="false">
      <c r="A21" s="26" t="str">
        <f aca="false">'KPI Calcs'!A13</f>
        <v>Dec</v>
      </c>
      <c r="B21" s="27" t="n">
        <f aca="false">'KPI Calcs'!B13</f>
        <v>7100</v>
      </c>
      <c r="C21" s="27" t="n">
        <f aca="false">'KPI Calcs'!C13</f>
        <v>0.816901408450704</v>
      </c>
      <c r="D21" s="27" t="n">
        <f aca="false">'KPI Calcs'!D13</f>
        <v>6.49706744868035</v>
      </c>
      <c r="E21" s="28" t="n">
        <f aca="false">'KPI Calcs'!E13</f>
        <v>0.0394366197183099</v>
      </c>
      <c r="F21" s="29" t="n">
        <f aca="false">'KPI Calcs'!F13</f>
        <v>3.07708333333333</v>
      </c>
      <c r="G21" s="28" t="n">
        <f aca="false">'KPI Calcs'!G13</f>
        <v>24</v>
      </c>
      <c r="H21" s="28" t="n">
        <f aca="false">'KPI Calcs'!H13</f>
        <v>6820</v>
      </c>
      <c r="I21" s="30" t="n">
        <f aca="false">'KPI Calcs'!I13</f>
        <v>280</v>
      </c>
      <c r="J21" s="31" t="str">
        <f aca="false">IF(E21&gt;=0.8,"✅ Met",IF(E21&gt;=0.75,"⚠️ Near Miss","🔴 Missed"))</f>
        <v>🔴 Missed</v>
      </c>
      <c r="K21" s="31" t="str">
        <f aca="false">IF(E21&gt;E20,"📈 Up",IF(E21&lt;E20,"📉 Down","➡️ Flat"))</f>
        <v>📉 Down</v>
      </c>
      <c r="L21" s="32" t="str">
        <f aca="false">IF(G21&gt;0.05,"Review staffing levels",IF(F21&gt;8,"Check AHT coaching","On Track"))</f>
        <v>Review staffing levels</v>
      </c>
    </row>
    <row r="22" customFormat="false" ht="19.5" hidden="false" customHeight="true" outlineLevel="0" collapsed="false"/>
    <row r="23" customFormat="false" ht="19.5" hidden="false" customHeight="true" outlineLevel="0" collapsed="false"/>
    <row r="24" customFormat="false" ht="19.5" hidden="false" customHeight="true" outlineLevel="0" collapsed="false"/>
    <row r="25" customFormat="false" ht="19.5" hidden="false" customHeight="true" outlineLevel="0" collapsed="false"/>
    <row r="26" customFormat="false" ht="19.5" hidden="false" customHeight="true" outlineLevel="0" collapsed="false"/>
    <row r="27" customFormat="false" ht="19.5" hidden="false" customHeight="true" outlineLevel="0" collapsed="false"/>
    <row r="28" customFormat="false" ht="19.5" hidden="false" customHeight="true" outlineLevel="0" collapsed="false"/>
    <row r="29" customFormat="false" ht="19.5" hidden="false" customHeight="true" outlineLevel="0" collapsed="false"/>
    <row r="30" customFormat="false" ht="19.5" hidden="false" customHeight="true" outlineLevel="0" collapsed="false"/>
    <row r="31" customFormat="false" ht="19.5" hidden="false" customHeight="true" outlineLevel="0" collapsed="false"/>
    <row r="32" customFormat="false" ht="19.5" hidden="false" customHeight="true" outlineLevel="0" collapsed="false"/>
    <row r="33" customFormat="false" ht="19.5" hidden="false" customHeight="true" outlineLevel="0" collapsed="false"/>
    <row r="34" customFormat="false" ht="19.5" hidden="false" customHeight="true" outlineLevel="0" collapsed="false"/>
    <row r="35" customFormat="false" ht="19.5" hidden="false" customHeight="true" outlineLevel="0" collapsed="false"/>
    <row r="36" customFormat="false" ht="19.5" hidden="false" customHeight="true" outlineLevel="0" collapsed="false"/>
    <row r="37" customFormat="false" ht="19.5" hidden="false" customHeight="true" outlineLevel="0" collapsed="false"/>
    <row r="38" customFormat="false" ht="19.5" hidden="false" customHeight="true" outlineLevel="0" collapsed="false"/>
    <row r="39" customFormat="false" ht="19.5" hidden="false" customHeight="true" outlineLevel="0" collapsed="false"/>
    <row r="40" customFormat="false" ht="19.5" hidden="false" customHeight="true" outlineLevel="0" collapsed="false"/>
    <row r="41" customFormat="false" ht="19.5" hidden="false" customHeight="true" outlineLevel="0" collapsed="false"/>
    <row r="42" customFormat="false" ht="19.5" hidden="false" customHeight="true" outlineLevel="0" collapsed="false"/>
    <row r="43" customFormat="false" ht="19.5" hidden="false" customHeight="true" outlineLevel="0" collapsed="false"/>
    <row r="44" customFormat="false" ht="19.5" hidden="false" customHeight="true" outlineLevel="0" collapsed="false"/>
    <row r="45" customFormat="false" ht="19.5" hidden="false" customHeight="true" outlineLevel="0" collapsed="false"/>
    <row r="46" customFormat="false" ht="19.5" hidden="false" customHeight="true" outlineLevel="0" collapsed="false"/>
    <row r="47" customFormat="false" ht="19.5" hidden="false" customHeight="true" outlineLevel="0" collapsed="false"/>
    <row r="48" customFormat="false" ht="19.5" hidden="false" customHeight="true" outlineLevel="0" collapsed="false"/>
    <row r="49" customFormat="false" ht="19.5" hidden="false" customHeight="true" outlineLevel="0" collapsed="false"/>
    <row r="50" customFormat="false" ht="19.5" hidden="false" customHeight="true" outlineLevel="0" collapsed="false"/>
    <row r="51" customFormat="false" ht="19.5" hidden="false" customHeight="true" outlineLevel="0" collapsed="false"/>
    <row r="52" customFormat="false" ht="19.5" hidden="false" customHeight="true" outlineLevel="0" collapsed="false"/>
    <row r="53" customFormat="false" ht="19.5" hidden="false" customHeight="true" outlineLevel="0" collapsed="false"/>
    <row r="54" customFormat="false" ht="19.5" hidden="false" customHeight="true" outlineLevel="0" collapsed="false"/>
    <row r="55" customFormat="false" ht="19.5" hidden="false" customHeight="true" outlineLevel="0" collapsed="false"/>
    <row r="56" customFormat="false" ht="19.5" hidden="false" customHeight="true" outlineLevel="0" collapsed="false"/>
    <row r="57" customFormat="false" ht="19.5" hidden="false" customHeight="true" outlineLevel="0" collapsed="false"/>
    <row r="58" customFormat="false" ht="19.5" hidden="false" customHeight="true" outlineLevel="0" collapsed="false"/>
    <row r="59" customFormat="false" ht="19.5" hidden="false" customHeight="true" outlineLevel="0" collapsed="false"/>
  </sheetData>
  <mergeCells count="11">
    <mergeCell ref="A1:L1"/>
    <mergeCell ref="A2:L2"/>
    <mergeCell ref="A4:C4"/>
    <mergeCell ref="D4:F4"/>
    <mergeCell ref="G4:I4"/>
    <mergeCell ref="J4:L4"/>
    <mergeCell ref="A5:C6"/>
    <mergeCell ref="D5:F6"/>
    <mergeCell ref="G5:I6"/>
    <mergeCell ref="J5:L6"/>
    <mergeCell ref="A8:L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43.25" hidden="false" customHeight="false" outlineLevel="0" collapsed="false">
      <c r="A1" s="33" t="s">
        <v>1</v>
      </c>
      <c r="B1" s="33" t="s">
        <v>2</v>
      </c>
      <c r="C1" s="33" t="s">
        <v>30</v>
      </c>
      <c r="D1" s="33" t="s">
        <v>31</v>
      </c>
      <c r="E1" s="33" t="s">
        <v>32</v>
      </c>
      <c r="F1" s="33" t="s">
        <v>33</v>
      </c>
      <c r="G1" s="33" t="s">
        <v>39</v>
      </c>
      <c r="H1" s="33" t="s">
        <v>3</v>
      </c>
      <c r="I1" s="33" t="s">
        <v>4</v>
      </c>
    </row>
    <row r="2" customFormat="false" ht="15" hidden="false" customHeight="false" outlineLevel="0" collapsed="false">
      <c r="A2" s="34" t="str">
        <f aca="false">'Raw Data'!A4</f>
        <v>Jan</v>
      </c>
      <c r="B2" s="35" t="n">
        <f aca="false">'Raw Data'!B4</f>
        <v>5200</v>
      </c>
      <c r="C2" s="36" t="n">
        <f aca="false">'Raw Data'!E4/'Raw Data'!B4</f>
        <v>0.788461538461538</v>
      </c>
      <c r="D2" s="37" t="n">
        <f aca="false">'Raw Data'!F4/'Raw Data'!C4</f>
        <v>6.5</v>
      </c>
      <c r="E2" s="36" t="n">
        <f aca="false">'Raw Data'!D4/'Raw Data'!B4</f>
        <v>0.0423076923076923</v>
      </c>
      <c r="F2" s="36" t="n">
        <f aca="false">'Raw Data'!F4/('Raw Data'!G4*8*60)</f>
        <v>3.06534090909091</v>
      </c>
      <c r="G2" s="37" t="n">
        <f aca="false">'Raw Data'!H4</f>
        <v>18</v>
      </c>
      <c r="H2" s="35" t="n">
        <f aca="false">'Raw Data'!C4</f>
        <v>4980</v>
      </c>
      <c r="I2" s="35" t="n">
        <f aca="false">'Raw Data'!D4</f>
        <v>220</v>
      </c>
    </row>
    <row r="3" customFormat="false" ht="15" hidden="false" customHeight="false" outlineLevel="0" collapsed="false">
      <c r="A3" s="34" t="str">
        <f aca="false">'Raw Data'!A5</f>
        <v>Feb</v>
      </c>
      <c r="B3" s="35" t="n">
        <f aca="false">'Raw Data'!B5</f>
        <v>4900</v>
      </c>
      <c r="C3" s="36" t="n">
        <f aca="false">'Raw Data'!E5/'Raw Data'!B5</f>
        <v>0.795918367346939</v>
      </c>
      <c r="D3" s="37" t="n">
        <f aca="false">'Raw Data'!F5/'Raw Data'!C5</f>
        <v>6.50955414012739</v>
      </c>
      <c r="E3" s="36" t="n">
        <f aca="false">'Raw Data'!D5/'Raw Data'!B5</f>
        <v>0.0387755102040816</v>
      </c>
      <c r="F3" s="36" t="n">
        <f aca="false">'Raw Data'!F5/('Raw Data'!G5*8*60)</f>
        <v>3.04166666666667</v>
      </c>
      <c r="G3" s="37" t="n">
        <f aca="false">'Raw Data'!H5</f>
        <v>16</v>
      </c>
      <c r="H3" s="35" t="n">
        <f aca="false">'Raw Data'!C5</f>
        <v>4710</v>
      </c>
      <c r="I3" s="35" t="n">
        <f aca="false">'Raw Data'!D5</f>
        <v>190</v>
      </c>
    </row>
    <row r="4" customFormat="false" ht="15" hidden="false" customHeight="false" outlineLevel="0" collapsed="false">
      <c r="A4" s="34" t="str">
        <f aca="false">'Raw Data'!A6</f>
        <v>Mar</v>
      </c>
      <c r="B4" s="35" t="n">
        <f aca="false">'Raw Data'!B6</f>
        <v>5800</v>
      </c>
      <c r="C4" s="36" t="n">
        <f aca="false">'Raw Data'!E6/'Raw Data'!B6</f>
        <v>0.810344827586207</v>
      </c>
      <c r="D4" s="37" t="n">
        <f aca="false">'Raw Data'!F6/'Raw Data'!C6</f>
        <v>6.5</v>
      </c>
      <c r="E4" s="36" t="n">
        <f aca="false">'Raw Data'!D6/'Raw Data'!B6</f>
        <v>0.0413793103448276</v>
      </c>
      <c r="F4" s="36" t="n">
        <f aca="false">'Raw Data'!F6/('Raw Data'!G6*8*60)</f>
        <v>3.13715277777778</v>
      </c>
      <c r="G4" s="37" t="n">
        <f aca="false">'Raw Data'!H6</f>
        <v>19</v>
      </c>
      <c r="H4" s="35" t="n">
        <f aca="false">'Raw Data'!C6</f>
        <v>5560</v>
      </c>
      <c r="I4" s="35" t="n">
        <f aca="false">'Raw Data'!D6</f>
        <v>240</v>
      </c>
    </row>
    <row r="5" customFormat="false" ht="15" hidden="false" customHeight="false" outlineLevel="0" collapsed="false">
      <c r="A5" s="34" t="str">
        <f aca="false">'Raw Data'!A7</f>
        <v>Apr</v>
      </c>
      <c r="B5" s="35" t="n">
        <f aca="false">'Raw Data'!B7</f>
        <v>5500</v>
      </c>
      <c r="C5" s="36" t="n">
        <f aca="false">'Raw Data'!E7/'Raw Data'!B7</f>
        <v>0.818181818181818</v>
      </c>
      <c r="D5" s="37" t="n">
        <f aca="false">'Raw Data'!F7/'Raw Data'!C7</f>
        <v>6.5</v>
      </c>
      <c r="E5" s="36" t="n">
        <f aca="false">'Raw Data'!D7/'Raw Data'!B7</f>
        <v>0.04</v>
      </c>
      <c r="F5" s="36" t="n">
        <f aca="false">'Raw Data'!F7/('Raw Data'!G7*8*60)</f>
        <v>3.10869565217391</v>
      </c>
      <c r="G5" s="37" t="n">
        <f aca="false">'Raw Data'!H7</f>
        <v>17</v>
      </c>
      <c r="H5" s="35" t="n">
        <f aca="false">'Raw Data'!C7</f>
        <v>5280</v>
      </c>
      <c r="I5" s="35" t="n">
        <f aca="false">'Raw Data'!D7</f>
        <v>220</v>
      </c>
    </row>
    <row r="6" customFormat="false" ht="15" hidden="false" customHeight="false" outlineLevel="0" collapsed="false">
      <c r="A6" s="34" t="str">
        <f aca="false">'Raw Data'!A8</f>
        <v>May</v>
      </c>
      <c r="B6" s="35" t="n">
        <f aca="false">'Raw Data'!B8</f>
        <v>6100</v>
      </c>
      <c r="C6" s="36" t="n">
        <f aca="false">'Raw Data'!E8/'Raw Data'!B8</f>
        <v>0.819672131147541</v>
      </c>
      <c r="D6" s="37" t="n">
        <f aca="false">'Raw Data'!F8/'Raw Data'!C8</f>
        <v>6.49658703071672</v>
      </c>
      <c r="E6" s="36" t="n">
        <f aca="false">'Raw Data'!D8/'Raw Data'!B8</f>
        <v>0.039344262295082</v>
      </c>
      <c r="F6" s="36" t="n">
        <f aca="false">'Raw Data'!F8/('Raw Data'!G8*8*60)</f>
        <v>3.05048076923077</v>
      </c>
      <c r="G6" s="37" t="n">
        <f aca="false">'Raw Data'!H8</f>
        <v>20</v>
      </c>
      <c r="H6" s="35" t="n">
        <f aca="false">'Raw Data'!C8</f>
        <v>5860</v>
      </c>
      <c r="I6" s="35" t="n">
        <f aca="false">'Raw Data'!D8</f>
        <v>240</v>
      </c>
    </row>
    <row r="7" customFormat="false" ht="15" hidden="false" customHeight="false" outlineLevel="0" collapsed="false">
      <c r="A7" s="34" t="str">
        <f aca="false">'Raw Data'!A9</f>
        <v>Jun</v>
      </c>
      <c r="B7" s="35" t="n">
        <f aca="false">'Raw Data'!B9</f>
        <v>6400</v>
      </c>
      <c r="C7" s="36" t="n">
        <f aca="false">'Raw Data'!E9/'Raw Data'!B9</f>
        <v>0.828125</v>
      </c>
      <c r="D7" s="37" t="n">
        <f aca="false">'Raw Data'!F9/'Raw Data'!C9</f>
        <v>6.51219512195122</v>
      </c>
      <c r="E7" s="36" t="n">
        <f aca="false">'Raw Data'!D9/'Raw Data'!B9</f>
        <v>0.0390625</v>
      </c>
      <c r="F7" s="36" t="n">
        <f aca="false">'Raw Data'!F9/('Raw Data'!G9*8*60)</f>
        <v>3.09027777777778</v>
      </c>
      <c r="G7" s="37" t="n">
        <f aca="false">'Raw Data'!H9</f>
        <v>21</v>
      </c>
      <c r="H7" s="35" t="n">
        <f aca="false">'Raw Data'!C9</f>
        <v>6150</v>
      </c>
      <c r="I7" s="35" t="n">
        <f aca="false">'Raw Data'!D9</f>
        <v>250</v>
      </c>
    </row>
    <row r="8" customFormat="false" ht="15" hidden="false" customHeight="false" outlineLevel="0" collapsed="false">
      <c r="A8" s="34" t="str">
        <f aca="false">'Raw Data'!A10</f>
        <v>Jul</v>
      </c>
      <c r="B8" s="35" t="n">
        <f aca="false">'Raw Data'!B10</f>
        <v>6700</v>
      </c>
      <c r="C8" s="36" t="n">
        <f aca="false">'Raw Data'!E10/'Raw Data'!B10</f>
        <v>0.82089552238806</v>
      </c>
      <c r="D8" s="37" t="n">
        <f aca="false">'Raw Data'!F10/'Raw Data'!C10</f>
        <v>6.51632970451011</v>
      </c>
      <c r="E8" s="36" t="n">
        <f aca="false">'Raw Data'!D10/'Raw Data'!B10</f>
        <v>0.0402985074626866</v>
      </c>
      <c r="F8" s="36" t="n">
        <f aca="false">'Raw Data'!F10/('Raw Data'!G10*8*60)</f>
        <v>3.11755952380952</v>
      </c>
      <c r="G8" s="37" t="n">
        <f aca="false">'Raw Data'!H10</f>
        <v>22</v>
      </c>
      <c r="H8" s="35" t="n">
        <f aca="false">'Raw Data'!C10</f>
        <v>6430</v>
      </c>
      <c r="I8" s="35" t="n">
        <f aca="false">'Raw Data'!D10</f>
        <v>270</v>
      </c>
    </row>
    <row r="9" customFormat="false" ht="15" hidden="false" customHeight="false" outlineLevel="0" collapsed="false">
      <c r="A9" s="34" t="str">
        <f aca="false">'Raw Data'!A11</f>
        <v>Aug</v>
      </c>
      <c r="B9" s="35" t="n">
        <f aca="false">'Raw Data'!B11</f>
        <v>6500</v>
      </c>
      <c r="C9" s="36" t="n">
        <f aca="false">'Raw Data'!E11/'Raw Data'!B11</f>
        <v>0.830769230769231</v>
      </c>
      <c r="D9" s="37" t="n">
        <f aca="false">'Raw Data'!F11/'Raw Data'!C11</f>
        <v>6.5</v>
      </c>
      <c r="E9" s="36" t="n">
        <f aca="false">'Raw Data'!D11/'Raw Data'!B11</f>
        <v>0.04</v>
      </c>
      <c r="F9" s="36" t="n">
        <f aca="false">'Raw Data'!F11/('Raw Data'!G11*8*60)</f>
        <v>3.12962962962963</v>
      </c>
      <c r="G9" s="37" t="n">
        <f aca="false">'Raw Data'!H11</f>
        <v>21</v>
      </c>
      <c r="H9" s="35" t="n">
        <f aca="false">'Raw Data'!C11</f>
        <v>6240</v>
      </c>
      <c r="I9" s="35" t="n">
        <f aca="false">'Raw Data'!D11</f>
        <v>260</v>
      </c>
    </row>
    <row r="10" customFormat="false" ht="15" hidden="false" customHeight="false" outlineLevel="0" collapsed="false">
      <c r="A10" s="34" t="str">
        <f aca="false">'Raw Data'!A12</f>
        <v>Sep</v>
      </c>
      <c r="B10" s="35" t="n">
        <f aca="false">'Raw Data'!B12</f>
        <v>5700</v>
      </c>
      <c r="C10" s="36" t="n">
        <f aca="false">'Raw Data'!E12/'Raw Data'!B12</f>
        <v>0.824561403508772</v>
      </c>
      <c r="D10" s="37" t="n">
        <f aca="false">'Raw Data'!F12/'Raw Data'!C12</f>
        <v>6.47627737226277</v>
      </c>
      <c r="E10" s="36" t="n">
        <f aca="false">'Raw Data'!D12/'Raw Data'!B12</f>
        <v>0.0385964912280702</v>
      </c>
      <c r="F10" s="36" t="n">
        <f aca="false">'Raw Data'!F12/('Raw Data'!G12*8*60)</f>
        <v>3.08072916666667</v>
      </c>
      <c r="G10" s="37" t="n">
        <f aca="false">'Raw Data'!H12</f>
        <v>19</v>
      </c>
      <c r="H10" s="35" t="n">
        <f aca="false">'Raw Data'!C12</f>
        <v>5480</v>
      </c>
      <c r="I10" s="35" t="n">
        <f aca="false">'Raw Data'!D12</f>
        <v>220</v>
      </c>
    </row>
    <row r="11" customFormat="false" ht="15" hidden="false" customHeight="false" outlineLevel="0" collapsed="false">
      <c r="A11" s="34" t="str">
        <f aca="false">'Raw Data'!A13</f>
        <v>Oct</v>
      </c>
      <c r="B11" s="35" t="n">
        <f aca="false">'Raw Data'!B13</f>
        <v>5300</v>
      </c>
      <c r="C11" s="36" t="n">
        <f aca="false">'Raw Data'!E13/'Raw Data'!B13</f>
        <v>0.811320754716981</v>
      </c>
      <c r="D11" s="37" t="n">
        <f aca="false">'Raw Data'!F13/'Raw Data'!C13</f>
        <v>6.4950884086444</v>
      </c>
      <c r="E11" s="36" t="n">
        <f aca="false">'Raw Data'!D13/'Raw Data'!B13</f>
        <v>0.039622641509434</v>
      </c>
      <c r="F11" s="36" t="n">
        <f aca="false">'Raw Data'!F13/('Raw Data'!G13*8*60)</f>
        <v>3.13068181818182</v>
      </c>
      <c r="G11" s="37" t="n">
        <f aca="false">'Raw Data'!H13</f>
        <v>17</v>
      </c>
      <c r="H11" s="35" t="n">
        <f aca="false">'Raw Data'!C13</f>
        <v>5090</v>
      </c>
      <c r="I11" s="35" t="n">
        <f aca="false">'Raw Data'!D13</f>
        <v>210</v>
      </c>
    </row>
    <row r="12" customFormat="false" ht="15" hidden="false" customHeight="false" outlineLevel="0" collapsed="false">
      <c r="A12" s="34" t="str">
        <f aca="false">'Raw Data'!A14</f>
        <v>Nov</v>
      </c>
      <c r="B12" s="35" t="n">
        <f aca="false">'Raw Data'!B14</f>
        <v>6000</v>
      </c>
      <c r="C12" s="36" t="n">
        <f aca="false">'Raw Data'!E14/'Raw Data'!B14</f>
        <v>0.816666666666667</v>
      </c>
      <c r="D12" s="37" t="n">
        <f aca="false">'Raw Data'!F14/'Raw Data'!C14</f>
        <v>6.5</v>
      </c>
      <c r="E12" s="36" t="n">
        <f aca="false">'Raw Data'!D14/'Raw Data'!B14</f>
        <v>0.04</v>
      </c>
      <c r="F12" s="36" t="n">
        <f aca="false">'Raw Data'!F14/('Raw Data'!G14*8*60)</f>
        <v>3.12</v>
      </c>
      <c r="G12" s="37" t="n">
        <f aca="false">'Raw Data'!H14</f>
        <v>20</v>
      </c>
      <c r="H12" s="35" t="n">
        <f aca="false">'Raw Data'!C14</f>
        <v>5760</v>
      </c>
      <c r="I12" s="35" t="n">
        <f aca="false">'Raw Data'!D14</f>
        <v>240</v>
      </c>
    </row>
    <row r="13" customFormat="false" ht="15" hidden="false" customHeight="false" outlineLevel="0" collapsed="false">
      <c r="A13" s="34" t="str">
        <f aca="false">'Raw Data'!A15</f>
        <v>Dec</v>
      </c>
      <c r="B13" s="35" t="n">
        <f aca="false">'Raw Data'!B15</f>
        <v>7100</v>
      </c>
      <c r="C13" s="36" t="n">
        <f aca="false">'Raw Data'!E15/'Raw Data'!B15</f>
        <v>0.816901408450704</v>
      </c>
      <c r="D13" s="37" t="n">
        <f aca="false">'Raw Data'!F15/'Raw Data'!C15</f>
        <v>6.49706744868035</v>
      </c>
      <c r="E13" s="36" t="n">
        <f aca="false">'Raw Data'!D15/'Raw Data'!B15</f>
        <v>0.0394366197183099</v>
      </c>
      <c r="F13" s="36" t="n">
        <f aca="false">'Raw Data'!F15/('Raw Data'!G15*8*60)</f>
        <v>3.07708333333333</v>
      </c>
      <c r="G13" s="37" t="n">
        <f aca="false">'Raw Data'!H15</f>
        <v>24</v>
      </c>
      <c r="H13" s="35" t="n">
        <f aca="false">'Raw Data'!C15</f>
        <v>6820</v>
      </c>
      <c r="I13" s="35" t="n">
        <f aca="false">'Raw Data'!D15</f>
        <v>280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2026-03-18T20:48:06Z</dcterms:created>
  <dc:creator>openpyxl</dc:creator>
  <dc:description/>
  <dc:language>en-US</dc:language>
  <cp:lastModifiedBy/>
  <dcterms:modified xsi:type="dcterms:W3CDTF">2026-03-18T20:48:21Z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